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E:\Data360\"/>
    </mc:Choice>
  </mc:AlternateContent>
  <xr:revisionPtr revIDLastSave="0" documentId="13_ncr:1_{4336570E-A294-4155-B18F-978C9D5842EA}" xr6:coauthVersionLast="36" xr6:coauthVersionMax="36" xr10:uidLastSave="{00000000-0000-0000-0000-000000000000}"/>
  <bookViews>
    <workbookView xWindow="0" yWindow="0" windowWidth="23040" windowHeight="8940" tabRatio="500" activeTab="5" xr2:uid="{00000000-000D-0000-FFFF-FFFF00000000}"/>
  </bookViews>
  <sheets>
    <sheet name="Revenue" sheetId="13" r:id="rId1"/>
    <sheet name="revenue Trand" sheetId="17" r:id="rId2"/>
    <sheet name="CustomerTransactions" sheetId="1" r:id="rId3"/>
    <sheet name="KPI" sheetId="10" r:id="rId4"/>
    <sheet name="CustomerMaster" sheetId="2" r:id="rId5"/>
    <sheet name="Dashboard" sheetId="12" r:id="rId6"/>
  </sheets>
  <definedNames>
    <definedName name="_xlcn.WorksheetConnection_CustomerDataClass3.xlsxCustomerTransactions" hidden="1">CustomerTransactions[]</definedName>
    <definedName name="_xlcn.WorksheetConnection_CustomerDataClass3.xlsxTable6" hidden="1">Table6[]</definedName>
    <definedName name="Slicer_Region">#N/A</definedName>
  </definedNames>
  <calcPr calcId="191029" iterateDelta="1E-4"/>
  <pivotCaches>
    <pivotCache cacheId="0"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Transactions" name="CustomerTransactions" connection="WorksheetConnection_CustomerDataClass3.xlsx!CustomerTransactions"/>
          <x15:modelTable id="Table6" name="Table6" connection="WorksheetConnection_CustomerDataClass3.xlsx!Table6"/>
        </x15:modelTables>
      </x15:dataModel>
    </ext>
    <ext xmlns:loext="http://schemas.libreoffice.org/" uri="{7626C862-2A13-11E5-B345-FEFF819CDC9F}">
      <loext:extCalcPr stringRefSyntax="ExcelA1"/>
    </ext>
  </extLst>
</workbook>
</file>

<file path=xl/calcChain.xml><?xml version="1.0" encoding="utf-8"?>
<calcChain xmlns="http://schemas.openxmlformats.org/spreadsheetml/2006/main">
  <c r="H7" i="10" l="1"/>
  <c r="H4" i="10"/>
  <c r="H5" i="10" l="1"/>
  <c r="F2" i="1" l="1"/>
  <c r="C7" i="13"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M7" i="10" l="1"/>
  <c r="G9" i="12" s="1"/>
  <c r="C4" i="13"/>
  <c r="C39" i="13"/>
  <c r="C6" i="13"/>
  <c r="M6" i="10"/>
  <c r="M6" i="12" s="1"/>
  <c r="M5" i="10"/>
  <c r="J6" i="12" s="1"/>
  <c r="C20" i="13"/>
  <c r="M8" i="10"/>
  <c r="J9" i="12" s="1"/>
  <c r="C21" i="13"/>
  <c r="M9" i="10"/>
  <c r="M9" i="12" s="1"/>
  <c r="J107" i="1"/>
  <c r="J106"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M4" i="10" s="1"/>
  <c r="G6" i="12" s="1"/>
  <c r="K54" i="1"/>
  <c r="K53" i="1"/>
  <c r="K52" i="1"/>
  <c r="K51" i="1"/>
  <c r="K50" i="1"/>
  <c r="C38" i="13" s="1"/>
  <c r="K49" i="1"/>
  <c r="K48" i="1"/>
  <c r="K47" i="1"/>
  <c r="K46" i="1"/>
  <c r="K45" i="1"/>
  <c r="K44" i="1"/>
  <c r="K43" i="1"/>
  <c r="K42" i="1"/>
  <c r="K41" i="1"/>
  <c r="K40" i="1"/>
  <c r="K39" i="1"/>
  <c r="K38" i="1"/>
  <c r="K37" i="1"/>
  <c r="K36" i="1"/>
  <c r="C35" i="13" s="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C40" i="13" s="1"/>
  <c r="K4" i="1"/>
  <c r="K3" i="1"/>
  <c r="J103" i="1" s="1"/>
  <c r="K2" i="1"/>
  <c r="J104" i="1" s="1"/>
  <c r="C36" i="13" l="1"/>
  <c r="C5" i="13"/>
  <c r="C37" i="13"/>
  <c r="J105" i="1"/>
  <c r="J1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CustomerDataClass3.xlsx!CustomerTransactions" type="102" refreshedVersion="6" minRefreshableVersion="5">
    <extLst>
      <ext xmlns:x15="http://schemas.microsoft.com/office/spreadsheetml/2010/11/main" uri="{DE250136-89BD-433C-8126-D09CA5730AF9}">
        <x15:connection id="CustomerTransactions" autoDelete="1">
          <x15:rangePr sourceName="_xlcn.WorksheetConnection_CustomerDataClass3.xlsxCustomerTransactions"/>
        </x15:connection>
      </ext>
    </extLst>
  </connection>
  <connection id="3" xr16:uid="{00000000-0015-0000-FFFF-FFFF02000000}" name="WorksheetConnection_CustomerDataClass3.xlsx!Table6" type="102" refreshedVersion="6" minRefreshableVersion="5">
    <extLst>
      <ext xmlns:x15="http://schemas.microsoft.com/office/spreadsheetml/2010/11/main" uri="{DE250136-89BD-433C-8126-D09CA5730AF9}">
        <x15:connection id="Table6">
          <x15:rangePr sourceName="_xlcn.WorksheetConnection_CustomerDataClass3.xlsxTable6"/>
        </x15:connection>
      </ext>
    </extLst>
  </connection>
</connections>
</file>

<file path=xl/sharedStrings.xml><?xml version="1.0" encoding="utf-8"?>
<sst xmlns="http://schemas.openxmlformats.org/spreadsheetml/2006/main" count="545" uniqueCount="109">
  <si>
    <t>CustomerID</t>
  </si>
  <si>
    <t>TransactionDate</t>
  </si>
  <si>
    <t>Product</t>
  </si>
  <si>
    <t>Category</t>
  </si>
  <si>
    <t>Quantity</t>
  </si>
  <si>
    <t>UnitPrice</t>
  </si>
  <si>
    <t>Revenue</t>
  </si>
  <si>
    <t>Region</t>
  </si>
  <si>
    <t>C008</t>
  </si>
  <si>
    <t>Pen Set</t>
  </si>
  <si>
    <t>Stationery</t>
  </si>
  <si>
    <t>Chattogram</t>
  </si>
  <si>
    <t>C013</t>
  </si>
  <si>
    <t>Mouse</t>
  </si>
  <si>
    <t>Accessories</t>
  </si>
  <si>
    <t>Sylhet</t>
  </si>
  <si>
    <t>C019</t>
  </si>
  <si>
    <t>Monitor</t>
  </si>
  <si>
    <t>Electronics</t>
  </si>
  <si>
    <t>Rajshahi</t>
  </si>
  <si>
    <t>Headphones</t>
  </si>
  <si>
    <t>C009</t>
  </si>
  <si>
    <t>C018</t>
  </si>
  <si>
    <t>Notebook</t>
  </si>
  <si>
    <t>C014</t>
  </si>
  <si>
    <t>Office Desk</t>
  </si>
  <si>
    <t>Furniture</t>
  </si>
  <si>
    <t>Webcam</t>
  </si>
  <si>
    <t>C003</t>
  </si>
  <si>
    <t>Desk Lamp</t>
  </si>
  <si>
    <t>Dhaka</t>
  </si>
  <si>
    <t>C005</t>
  </si>
  <si>
    <t>Keyboard</t>
  </si>
  <si>
    <t>C020</t>
  </si>
  <si>
    <t>Khulna</t>
  </si>
  <si>
    <t>External HDD</t>
  </si>
  <si>
    <t>C004</t>
  </si>
  <si>
    <t>C015</t>
  </si>
  <si>
    <t>C017</t>
  </si>
  <si>
    <t>C010</t>
  </si>
  <si>
    <t>C007</t>
  </si>
  <si>
    <t>Desk Chair</t>
  </si>
  <si>
    <t>Router</t>
  </si>
  <si>
    <t>C006</t>
  </si>
  <si>
    <t>C001</t>
  </si>
  <si>
    <t>Laptop</t>
  </si>
  <si>
    <t>C002</t>
  </si>
  <si>
    <t>C011</t>
  </si>
  <si>
    <t>Printer</t>
  </si>
  <si>
    <t>USB Cable</t>
  </si>
  <si>
    <t>C012</t>
  </si>
  <si>
    <t>CustomerName</t>
  </si>
  <si>
    <t>CustomerType</t>
  </si>
  <si>
    <t>Nusrat Ahmed</t>
  </si>
  <si>
    <t>Premium</t>
  </si>
  <si>
    <t>Ayesha Hossain</t>
  </si>
  <si>
    <t>Mahmud Chowdhury</t>
  </si>
  <si>
    <t>Karim Islam</t>
  </si>
  <si>
    <t>Lucky Islam</t>
  </si>
  <si>
    <t>Regular</t>
  </si>
  <si>
    <t>Ayesha Khan</t>
  </si>
  <si>
    <t>Rahim Hossain</t>
  </si>
  <si>
    <t>Kamal Hossain</t>
  </si>
  <si>
    <t>Nusrat Akter</t>
  </si>
  <si>
    <t>Nasrin Begum</t>
  </si>
  <si>
    <t>Fatema Khan</t>
  </si>
  <si>
    <t>Mizan Akter</t>
  </si>
  <si>
    <t>Ruma Begum</t>
  </si>
  <si>
    <t>Karim Ahmed</t>
  </si>
  <si>
    <t>C016</t>
  </si>
  <si>
    <t>Kamal Khan</t>
  </si>
  <si>
    <t>Karim Sarker</t>
  </si>
  <si>
    <t>Shirin Khan</t>
  </si>
  <si>
    <t>Total Revenue</t>
  </si>
  <si>
    <t>Total Premium Revenue</t>
  </si>
  <si>
    <t>Total Regular Revenue</t>
  </si>
  <si>
    <t>Total Electronic Revenue</t>
  </si>
  <si>
    <t>Total Premium Transaction</t>
  </si>
  <si>
    <t>Total electronic premium transaction</t>
  </si>
  <si>
    <t>Month</t>
  </si>
  <si>
    <t>TransactionID</t>
  </si>
  <si>
    <t>Monthno</t>
  </si>
  <si>
    <t>January</t>
  </si>
  <si>
    <t>February</t>
  </si>
  <si>
    <t>March</t>
  </si>
  <si>
    <t>April</t>
  </si>
  <si>
    <t>May</t>
  </si>
  <si>
    <t>June</t>
  </si>
  <si>
    <t>July</t>
  </si>
  <si>
    <t>August</t>
  </si>
  <si>
    <t>September</t>
  </si>
  <si>
    <t>October</t>
  </si>
  <si>
    <t>November</t>
  </si>
  <si>
    <t>December</t>
  </si>
  <si>
    <t>MonthNo</t>
  </si>
  <si>
    <t xml:space="preserve">KPI </t>
  </si>
  <si>
    <t>Transaction Count</t>
  </si>
  <si>
    <t>Total Quantity</t>
  </si>
  <si>
    <t>Average Unit Price</t>
  </si>
  <si>
    <t>Premium Transactions</t>
  </si>
  <si>
    <t>Premium Revenue</t>
  </si>
  <si>
    <t>Sales Performance Dashboard</t>
  </si>
  <si>
    <t>Average Unit</t>
  </si>
  <si>
    <t>Premium Transaction</t>
  </si>
  <si>
    <t>customertype</t>
  </si>
  <si>
    <t>No</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</si>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</sst>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quot;, &quot;yyyy"/>
  </numFmts>
  <fonts count="14" x14ac:knownFonts="1">
    <font>
      <sz val="11"/>
      <color theme="1"/>
      <name val="Calibri"/>
      <family val="2"/>
      <charset val="1"/>
    </font>
    <font>
      <b/>
      <sz val="11"/>
      <color rgb="FFFFFFFF"/>
      <name val="Arial"/>
      <charset val="1"/>
    </font>
    <font>
      <sz val="11"/>
      <name val="Arial"/>
      <charset val="1"/>
    </font>
    <font>
      <b/>
      <sz val="11"/>
      <color theme="1"/>
      <name val="Calibri"/>
      <family val="2"/>
    </font>
    <font>
      <sz val="10"/>
      <name val="Calibri"/>
      <family val="2"/>
    </font>
    <font>
      <sz val="11"/>
      <name val="Arial"/>
      <family val="2"/>
    </font>
    <font>
      <sz val="10"/>
      <color theme="1"/>
      <name val="Calibri"/>
      <family val="2"/>
      <charset val="1"/>
    </font>
    <font>
      <b/>
      <sz val="11"/>
      <color rgb="FFFFFFFF"/>
      <name val="Arial"/>
      <family val="2"/>
      <charset val="1"/>
    </font>
    <font>
      <b/>
      <sz val="11"/>
      <color theme="0"/>
      <name val="Arial"/>
      <family val="2"/>
    </font>
    <font>
      <sz val="11"/>
      <name val="Calibri"/>
      <family val="2"/>
      <charset val="1"/>
    </font>
    <font>
      <b/>
      <sz val="12"/>
      <color theme="0"/>
      <name val="Calibri"/>
      <family val="2"/>
    </font>
    <font>
      <b/>
      <sz val="16"/>
      <color theme="0"/>
      <name val="Arial"/>
      <family val="2"/>
    </font>
    <font>
      <b/>
      <sz val="11"/>
      <name val="Times New Roman"/>
      <family val="1"/>
    </font>
    <font>
      <b/>
      <sz val="20"/>
      <color theme="1"/>
      <name val="Calibri"/>
      <family val="2"/>
    </font>
  </fonts>
  <fills count="13">
    <fill>
      <patternFill patternType="none"/>
    </fill>
    <fill>
      <patternFill patternType="gray125"/>
    </fill>
    <fill>
      <patternFill patternType="solid">
        <fgColor rgb="FF4472C4"/>
        <bgColor rgb="FF666699"/>
      </patternFill>
    </fill>
    <fill>
      <patternFill patternType="solid">
        <fgColor rgb="FFFFFF00"/>
        <bgColor indexed="64"/>
      </patternFill>
    </fill>
    <fill>
      <patternFill patternType="solid">
        <fgColor theme="4" tint="0.79998168889431442"/>
        <bgColor indexed="64"/>
      </patternFill>
    </fill>
    <fill>
      <patternFill patternType="solid">
        <fgColor theme="1" tint="0.14999847407452621"/>
        <bgColor indexed="64"/>
      </patternFill>
    </fill>
    <fill>
      <patternFill patternType="solid">
        <fgColor theme="2" tint="-0.249977111117893"/>
        <bgColor indexed="64"/>
      </patternFill>
    </fill>
    <fill>
      <patternFill patternType="solid">
        <fgColor theme="8"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5">
    <xf numFmtId="0" fontId="0" fillId="0" borderId="0" xfId="0"/>
    <xf numFmtId="0" fontId="1" fillId="2" borderId="0" xfId="0" applyFont="1" applyFill="1" applyAlignment="1">
      <alignment horizontal="center"/>
    </xf>
    <xf numFmtId="0" fontId="2" fillId="0" borderId="1" xfId="0" applyFont="1" applyBorder="1"/>
    <xf numFmtId="0" fontId="0" fillId="0" borderId="0" xfId="0" applyNumberFormat="1"/>
    <xf numFmtId="0" fontId="7" fillId="2" borderId="6" xfId="0" applyFont="1" applyFill="1" applyBorder="1" applyAlignment="1">
      <alignment horizontal="center"/>
    </xf>
    <xf numFmtId="0" fontId="1" fillId="2" borderId="7" xfId="0" applyFont="1" applyFill="1" applyBorder="1" applyAlignment="1">
      <alignment horizontal="center"/>
    </xf>
    <xf numFmtId="14" fontId="7" fillId="2" borderId="7" xfId="0" applyNumberFormat="1" applyFont="1" applyFill="1" applyBorder="1" applyAlignment="1">
      <alignment horizontal="center"/>
    </xf>
    <xf numFmtId="0" fontId="1" fillId="2" borderId="8" xfId="0" applyFont="1" applyFill="1" applyBorder="1" applyAlignment="1">
      <alignment horizontal="center"/>
    </xf>
    <xf numFmtId="0" fontId="2" fillId="0" borderId="4" xfId="0"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NumberFormat="1" applyFont="1" applyBorder="1" applyAlignment="1">
      <alignment vertical="top"/>
    </xf>
    <xf numFmtId="3" fontId="2" fillId="0" borderId="1" xfId="0" applyNumberFormat="1" applyFont="1" applyBorder="1" applyAlignment="1">
      <alignment vertical="top"/>
    </xf>
    <xf numFmtId="0" fontId="2" fillId="0" borderId="2" xfId="0" applyFont="1" applyBorder="1" applyAlignment="1">
      <alignment vertical="top"/>
    </xf>
    <xf numFmtId="0" fontId="2" fillId="0" borderId="9" xfId="0" applyFont="1" applyBorder="1" applyAlignment="1">
      <alignment vertical="top"/>
    </xf>
    <xf numFmtId="0" fontId="2" fillId="0" borderId="5" xfId="0" applyFont="1" applyBorder="1" applyAlignment="1">
      <alignment vertical="top"/>
    </xf>
    <xf numFmtId="164" fontId="5" fillId="0" borderId="5" xfId="0" applyNumberFormat="1" applyFont="1" applyBorder="1" applyAlignment="1">
      <alignment vertical="top"/>
    </xf>
    <xf numFmtId="0" fontId="5" fillId="0" borderId="5" xfId="0" applyNumberFormat="1" applyFont="1" applyBorder="1" applyAlignment="1">
      <alignment vertical="top"/>
    </xf>
    <xf numFmtId="3" fontId="2" fillId="0" borderId="5" xfId="0" applyNumberFormat="1" applyFont="1" applyBorder="1" applyAlignment="1">
      <alignment vertical="top"/>
    </xf>
    <xf numFmtId="0" fontId="2" fillId="0" borderId="10" xfId="0" applyFont="1" applyBorder="1" applyAlignment="1">
      <alignment vertical="top"/>
    </xf>
    <xf numFmtId="0" fontId="0" fillId="0" borderId="1" xfId="0" applyBorder="1"/>
    <xf numFmtId="0" fontId="10" fillId="5" borderId="1" xfId="0" applyFont="1" applyFill="1" applyBorder="1"/>
    <xf numFmtId="0" fontId="9" fillId="6" borderId="1" xfId="0" applyFont="1" applyFill="1" applyBorder="1"/>
    <xf numFmtId="0" fontId="0" fillId="0" borderId="10" xfId="0" applyBorder="1"/>
    <xf numFmtId="0" fontId="5" fillId="0" borderId="1" xfId="0" applyFont="1" applyBorder="1" applyAlignment="1">
      <alignment vertical="top"/>
    </xf>
    <xf numFmtId="0" fontId="13" fillId="0" borderId="0" xfId="0" applyFont="1" applyBorder="1" applyAlignment="1">
      <alignment vertical="center"/>
    </xf>
    <xf numFmtId="0" fontId="0" fillId="0" borderId="0" xfId="0" applyBorder="1"/>
    <xf numFmtId="0" fontId="0" fillId="0" borderId="0" xfId="0" pivotButton="1"/>
    <xf numFmtId="0" fontId="0" fillId="0" borderId="0" xfId="0" applyAlignment="1">
      <alignment horizontal="left"/>
    </xf>
    <xf numFmtId="15" fontId="0" fillId="0" borderId="4" xfId="0" applyNumberFormat="1" applyBorder="1"/>
    <xf numFmtId="0" fontId="0" fillId="0" borderId="2" xfId="0" applyBorder="1"/>
    <xf numFmtId="0" fontId="8" fillId="5" borderId="6" xfId="0" applyFont="1" applyFill="1" applyBorder="1"/>
    <xf numFmtId="0" fontId="8" fillId="5" borderId="8" xfId="0" applyFont="1" applyFill="1" applyBorder="1"/>
    <xf numFmtId="15" fontId="0" fillId="0" borderId="9" xfId="0" applyNumberFormat="1" applyBorder="1"/>
    <xf numFmtId="0" fontId="3" fillId="3" borderId="1" xfId="0" applyFont="1" applyFill="1" applyBorder="1" applyAlignment="1">
      <alignment horizontal="center"/>
    </xf>
    <xf numFmtId="0" fontId="0" fillId="3" borderId="1" xfId="0" applyFill="1" applyBorder="1" applyAlignment="1">
      <alignment horizontal="center"/>
    </xf>
    <xf numFmtId="0" fontId="4" fillId="4" borderId="1" xfId="0" applyFont="1" applyFill="1" applyBorder="1" applyAlignment="1">
      <alignment horizontal="center"/>
    </xf>
    <xf numFmtId="0" fontId="0" fillId="4" borderId="1" xfId="0"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6" fillId="4" borderId="1" xfId="0" applyFont="1" applyFill="1" applyBorder="1" applyAlignment="1">
      <alignment horizontal="center"/>
    </xf>
    <xf numFmtId="0" fontId="0" fillId="9" borderId="10" xfId="0" applyFill="1" applyBorder="1" applyAlignment="1">
      <alignment horizontal="center"/>
    </xf>
    <xf numFmtId="0" fontId="0" fillId="9" borderId="11" xfId="0" applyFill="1" applyBorder="1" applyAlignment="1">
      <alignment horizontal="center"/>
    </xf>
    <xf numFmtId="0" fontId="0" fillId="9" borderId="9" xfId="0" applyFill="1" applyBorder="1" applyAlignment="1">
      <alignment horizontal="center"/>
    </xf>
    <xf numFmtId="0" fontId="0" fillId="9" borderId="8" xfId="0" applyFill="1" applyBorder="1" applyAlignment="1">
      <alignment horizontal="center"/>
    </xf>
    <xf numFmtId="0" fontId="0" fillId="9" borderId="12" xfId="0" applyFill="1" applyBorder="1" applyAlignment="1">
      <alignment horizontal="center"/>
    </xf>
    <xf numFmtId="0" fontId="0" fillId="9" borderId="6" xfId="0" applyFill="1" applyBorder="1" applyAlignment="1">
      <alignment horizontal="center"/>
    </xf>
    <xf numFmtId="0" fontId="12" fillId="8" borderId="2" xfId="0" applyFont="1" applyFill="1" applyBorder="1" applyAlignment="1">
      <alignment horizontal="center"/>
    </xf>
    <xf numFmtId="0" fontId="12" fillId="8" borderId="3" xfId="0" applyFont="1" applyFill="1" applyBorder="1" applyAlignment="1">
      <alignment horizontal="center"/>
    </xf>
    <xf numFmtId="0" fontId="12" fillId="8" borderId="4" xfId="0" applyFont="1" applyFill="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9" borderId="1" xfId="0" applyFill="1" applyBorder="1" applyAlignment="1">
      <alignment horizontal="center"/>
    </xf>
    <xf numFmtId="0" fontId="11" fillId="7" borderId="1" xfId="0" applyFont="1" applyFill="1" applyBorder="1" applyAlignment="1">
      <alignment horizontal="center" vertical="center"/>
    </xf>
    <xf numFmtId="0" fontId="9" fillId="6" borderId="1" xfId="0" applyFont="1" applyFill="1" applyBorder="1" applyAlignment="1">
      <alignment horizontal="center"/>
    </xf>
    <xf numFmtId="0" fontId="3" fillId="11" borderId="13" xfId="0" applyFont="1" applyFill="1" applyBorder="1" applyAlignment="1">
      <alignment horizontal="center" vertical="center"/>
    </xf>
    <xf numFmtId="0" fontId="3" fillId="11" borderId="15" xfId="0" applyFont="1" applyFill="1" applyBorder="1" applyAlignment="1">
      <alignment horizontal="center" vertical="center"/>
    </xf>
    <xf numFmtId="0" fontId="0" fillId="12" borderId="18" xfId="0" applyFill="1" applyBorder="1" applyAlignment="1">
      <alignment horizontal="center" vertical="center"/>
    </xf>
    <xf numFmtId="0" fontId="0" fillId="12" borderId="20" xfId="0" applyFill="1" applyBorder="1" applyAlignment="1">
      <alignment horizontal="center" vertical="center"/>
    </xf>
    <xf numFmtId="0" fontId="13" fillId="10" borderId="13" xfId="0" applyFont="1" applyFill="1" applyBorder="1" applyAlignment="1">
      <alignment horizontal="center" vertical="center"/>
    </xf>
    <xf numFmtId="0" fontId="13" fillId="10" borderId="14" xfId="0" applyFont="1" applyFill="1" applyBorder="1" applyAlignment="1">
      <alignment horizontal="center" vertical="center"/>
    </xf>
    <xf numFmtId="0" fontId="13" fillId="10" borderId="15" xfId="0" applyFont="1" applyFill="1" applyBorder="1" applyAlignment="1">
      <alignment horizontal="center" vertical="center"/>
    </xf>
    <xf numFmtId="0" fontId="13" fillId="10" borderId="16" xfId="0" applyFont="1" applyFill="1" applyBorder="1" applyAlignment="1">
      <alignment horizontal="center" vertical="center"/>
    </xf>
    <xf numFmtId="0" fontId="13" fillId="10" borderId="0" xfId="0" applyFont="1" applyFill="1" applyBorder="1" applyAlignment="1">
      <alignment horizontal="center" vertical="center"/>
    </xf>
    <xf numFmtId="0" fontId="13" fillId="10" borderId="17" xfId="0" applyFont="1" applyFill="1" applyBorder="1" applyAlignment="1">
      <alignment horizontal="center" vertical="center"/>
    </xf>
    <xf numFmtId="0" fontId="13" fillId="10" borderId="18" xfId="0" applyFont="1" applyFill="1" applyBorder="1" applyAlignment="1">
      <alignment horizontal="center" vertical="center"/>
    </xf>
    <xf numFmtId="0" fontId="13" fillId="10" borderId="19" xfId="0" applyFont="1" applyFill="1" applyBorder="1" applyAlignment="1">
      <alignment horizontal="center" vertical="center"/>
    </xf>
    <xf numFmtId="0" fontId="13" fillId="10" borderId="20" xfId="0" applyFont="1" applyFill="1" applyBorder="1" applyAlignment="1">
      <alignment horizontal="center" vertical="center"/>
    </xf>
    <xf numFmtId="0" fontId="3" fillId="11" borderId="21" xfId="0" applyFont="1" applyFill="1" applyBorder="1" applyAlignment="1">
      <alignment horizontal="center" vertical="center"/>
    </xf>
    <xf numFmtId="0" fontId="3" fillId="11" borderId="22" xfId="0" applyFont="1" applyFill="1" applyBorder="1" applyAlignment="1">
      <alignment horizontal="center" vertical="center"/>
    </xf>
    <xf numFmtId="0" fontId="3" fillId="11" borderId="24" xfId="0" applyFont="1" applyFill="1" applyBorder="1" applyAlignment="1">
      <alignment horizontal="center" vertical="center"/>
    </xf>
    <xf numFmtId="0" fontId="3" fillId="11" borderId="25" xfId="0" applyFont="1" applyFill="1" applyBorder="1" applyAlignment="1">
      <alignment horizontal="center" vertical="center"/>
    </xf>
    <xf numFmtId="0" fontId="3" fillId="12" borderId="23" xfId="0" applyFont="1" applyFill="1" applyBorder="1" applyAlignment="1">
      <alignment horizontal="center" vertical="center"/>
    </xf>
    <xf numFmtId="0" fontId="3" fillId="12" borderId="26" xfId="0" applyFont="1" applyFill="1" applyBorder="1" applyAlignment="1">
      <alignment horizontal="center" vertical="center"/>
    </xf>
  </cellXfs>
  <cellStyles count="1">
    <cellStyle name="Normal" xfId="0" builtinId="0"/>
  </cellStyles>
  <dxfs count="30">
    <dxf>
      <font>
        <b val="0"/>
        <i val="0"/>
        <strike val="0"/>
        <condense val="0"/>
        <extend val="0"/>
        <outline val="0"/>
        <shadow val="0"/>
        <u val="none"/>
        <vertAlign val="baseline"/>
        <sz val="11"/>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666699"/>
          <bgColor rgb="FF4472C4"/>
        </patternFill>
      </fill>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numFmt numFmtId="165" formatCode="dd/mmm/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scheme val="none"/>
      </font>
      <fill>
        <patternFill patternType="solid">
          <fgColor indexed="64"/>
          <bgColor theme="1" tint="0.149998474074526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 formatCode="#,##0"/>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64" formatCode="mmm\ dd&quot;, &quot;yyyy"/>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Arial"/>
        <scheme val="none"/>
      </font>
      <fill>
        <patternFill patternType="solid">
          <fgColor rgb="FF666699"/>
          <bgColor rgb="FF4472C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Revenue!$C$3</c:f>
              <c:strCache>
                <c:ptCount val="1"/>
                <c:pt idx="0">
                  <c:v>Revenue</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Revenue!$B$4:$B$7</c:f>
              <c:strCache>
                <c:ptCount val="4"/>
                <c:pt idx="0">
                  <c:v>Stationery</c:v>
                </c:pt>
                <c:pt idx="1">
                  <c:v>Electronics</c:v>
                </c:pt>
                <c:pt idx="2">
                  <c:v>Accessories</c:v>
                </c:pt>
                <c:pt idx="3">
                  <c:v>Furniture</c:v>
                </c:pt>
              </c:strCache>
            </c:strRef>
          </c:cat>
          <c:val>
            <c:numRef>
              <c:f>Revenue!$C$4:$C$7</c:f>
              <c:numCache>
                <c:formatCode>General</c:formatCode>
                <c:ptCount val="4"/>
                <c:pt idx="0">
                  <c:v>0</c:v>
                </c:pt>
                <c:pt idx="1">
                  <c:v>1500</c:v>
                </c:pt>
                <c:pt idx="2">
                  <c:v>50</c:v>
                </c:pt>
                <c:pt idx="3">
                  <c:v>13200</c:v>
                </c:pt>
              </c:numCache>
            </c:numRef>
          </c:val>
          <c:extLst>
            <c:ext xmlns:c16="http://schemas.microsoft.com/office/drawing/2014/chart" uri="{C3380CC4-5D6E-409C-BE32-E72D297353CC}">
              <c16:uniqueId val="{00000000-6F33-4270-AAA8-864EEBFC696B}"/>
            </c:ext>
          </c:extLst>
        </c:ser>
        <c:dLbls>
          <c:dLblPos val="inEnd"/>
          <c:showLegendKey val="0"/>
          <c:showVal val="1"/>
          <c:showCatName val="0"/>
          <c:showSerName val="0"/>
          <c:showPercent val="0"/>
          <c:showBubbleSize val="0"/>
        </c:dLbls>
        <c:gapWidth val="100"/>
        <c:overlap val="-24"/>
        <c:axId val="1308695151"/>
        <c:axId val="1308692655"/>
      </c:barChart>
      <c:catAx>
        <c:axId val="1308695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8692655"/>
        <c:crosses val="autoZero"/>
        <c:auto val="1"/>
        <c:lblAlgn val="ctr"/>
        <c:lblOffset val="100"/>
        <c:noMultiLvlLbl val="0"/>
      </c:catAx>
      <c:valAx>
        <c:axId val="1308692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8695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Revenue!$C$19</c:f>
              <c:strCache>
                <c:ptCount val="1"/>
                <c:pt idx="0">
                  <c:v>Revenue</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Revenue!$B$20:$B$21</c:f>
              <c:strCache>
                <c:ptCount val="2"/>
                <c:pt idx="0">
                  <c:v>Premium</c:v>
                </c:pt>
                <c:pt idx="1">
                  <c:v>Regular</c:v>
                </c:pt>
              </c:strCache>
            </c:strRef>
          </c:cat>
          <c:val>
            <c:numRef>
              <c:f>Revenue!$C$20:$C$21</c:f>
              <c:numCache>
                <c:formatCode>General</c:formatCode>
                <c:ptCount val="2"/>
                <c:pt idx="0">
                  <c:v>600</c:v>
                </c:pt>
                <c:pt idx="1">
                  <c:v>14150</c:v>
                </c:pt>
              </c:numCache>
            </c:numRef>
          </c:val>
          <c:extLst>
            <c:ext xmlns:c16="http://schemas.microsoft.com/office/drawing/2014/chart" uri="{C3380CC4-5D6E-409C-BE32-E72D297353CC}">
              <c16:uniqueId val="{00000000-788E-46FF-9CB6-7A0427ED3620}"/>
            </c:ext>
          </c:extLst>
        </c:ser>
        <c:dLbls>
          <c:dLblPos val="inEnd"/>
          <c:showLegendKey val="0"/>
          <c:showVal val="1"/>
          <c:showCatName val="0"/>
          <c:showSerName val="0"/>
          <c:showPercent val="0"/>
          <c:showBubbleSize val="0"/>
        </c:dLbls>
        <c:gapWidth val="100"/>
        <c:overlap val="-24"/>
        <c:axId val="1319436575"/>
        <c:axId val="1319438655"/>
      </c:barChart>
      <c:catAx>
        <c:axId val="1319436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9438655"/>
        <c:crosses val="autoZero"/>
        <c:auto val="1"/>
        <c:lblAlgn val="ctr"/>
        <c:lblOffset val="100"/>
        <c:noMultiLvlLbl val="0"/>
      </c:catAx>
      <c:valAx>
        <c:axId val="1319438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9436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a:t>
            </a:r>
            <a:r>
              <a:rPr lang="en-US"/>
              <a:t>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Revenue!$C$34</c:f>
              <c:strCache>
                <c:ptCount val="1"/>
                <c:pt idx="0">
                  <c:v>Revenue</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Revenue!$A$35:$B$40</c:f>
              <c:multiLvlStrCache>
                <c:ptCount val="6"/>
                <c:lvl>
                  <c:pt idx="0">
                    <c:v>January</c:v>
                  </c:pt>
                  <c:pt idx="1">
                    <c:v>February</c:v>
                  </c:pt>
                  <c:pt idx="2">
                    <c:v>March</c:v>
                  </c:pt>
                  <c:pt idx="3">
                    <c:v>April</c:v>
                  </c:pt>
                  <c:pt idx="4">
                    <c:v>May</c:v>
                  </c:pt>
                  <c:pt idx="5">
                    <c:v>June</c:v>
                  </c:pt>
                </c:lvl>
                <c:lvl>
                  <c:pt idx="0">
                    <c:v>1</c:v>
                  </c:pt>
                  <c:pt idx="1">
                    <c:v>2</c:v>
                  </c:pt>
                  <c:pt idx="2">
                    <c:v>3</c:v>
                  </c:pt>
                  <c:pt idx="3">
                    <c:v>4</c:v>
                  </c:pt>
                  <c:pt idx="4">
                    <c:v>5</c:v>
                  </c:pt>
                  <c:pt idx="5">
                    <c:v>6</c:v>
                  </c:pt>
                </c:lvl>
              </c:multiLvlStrCache>
            </c:multiLvlStrRef>
          </c:cat>
          <c:val>
            <c:numRef>
              <c:f>Revenue!$C$35:$C$40</c:f>
              <c:numCache>
                <c:formatCode>General</c:formatCode>
                <c:ptCount val="6"/>
                <c:pt idx="0">
                  <c:v>27580</c:v>
                </c:pt>
                <c:pt idx="1">
                  <c:v>18190</c:v>
                </c:pt>
                <c:pt idx="2">
                  <c:v>35550</c:v>
                </c:pt>
                <c:pt idx="3">
                  <c:v>6750</c:v>
                </c:pt>
                <c:pt idx="4">
                  <c:v>14750</c:v>
                </c:pt>
                <c:pt idx="5">
                  <c:v>21220</c:v>
                </c:pt>
              </c:numCache>
            </c:numRef>
          </c:val>
          <c:smooth val="0"/>
          <c:extLst>
            <c:ext xmlns:c16="http://schemas.microsoft.com/office/drawing/2014/chart" uri="{C3380CC4-5D6E-409C-BE32-E72D297353CC}">
              <c16:uniqueId val="{00000000-2CE8-41AB-BB30-6735207CA992}"/>
            </c:ext>
          </c:extLst>
        </c:ser>
        <c:dLbls>
          <c:showLegendKey val="0"/>
          <c:showVal val="0"/>
          <c:showCatName val="0"/>
          <c:showSerName val="0"/>
          <c:showPercent val="0"/>
          <c:showBubbleSize val="0"/>
        </c:dLbls>
        <c:smooth val="0"/>
        <c:axId val="1605858271"/>
        <c:axId val="1605863679"/>
      </c:lineChart>
      <c:catAx>
        <c:axId val="1605858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5863679"/>
        <c:crosses val="autoZero"/>
        <c:auto val="1"/>
        <c:lblAlgn val="ctr"/>
        <c:lblOffset val="100"/>
        <c:noMultiLvlLbl val="0"/>
      </c:catAx>
      <c:valAx>
        <c:axId val="1605863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58582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Revenue!$C$3</c:f>
              <c:strCache>
                <c:ptCount val="1"/>
                <c:pt idx="0">
                  <c:v>Revenue</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Revenue!$B$4:$B$7</c:f>
              <c:strCache>
                <c:ptCount val="4"/>
                <c:pt idx="0">
                  <c:v>Stationery</c:v>
                </c:pt>
                <c:pt idx="1">
                  <c:v>Electronics</c:v>
                </c:pt>
                <c:pt idx="2">
                  <c:v>Accessories</c:v>
                </c:pt>
                <c:pt idx="3">
                  <c:v>Furniture</c:v>
                </c:pt>
              </c:strCache>
            </c:strRef>
          </c:cat>
          <c:val>
            <c:numRef>
              <c:f>Revenue!$C$4:$C$7</c:f>
              <c:numCache>
                <c:formatCode>General</c:formatCode>
                <c:ptCount val="4"/>
                <c:pt idx="0">
                  <c:v>0</c:v>
                </c:pt>
                <c:pt idx="1">
                  <c:v>1500</c:v>
                </c:pt>
                <c:pt idx="2">
                  <c:v>50</c:v>
                </c:pt>
                <c:pt idx="3">
                  <c:v>13200</c:v>
                </c:pt>
              </c:numCache>
            </c:numRef>
          </c:val>
          <c:extLst>
            <c:ext xmlns:c16="http://schemas.microsoft.com/office/drawing/2014/chart" uri="{C3380CC4-5D6E-409C-BE32-E72D297353CC}">
              <c16:uniqueId val="{00000000-1E93-499B-9111-47142D3ECBF4}"/>
            </c:ext>
          </c:extLst>
        </c:ser>
        <c:dLbls>
          <c:dLblPos val="inEnd"/>
          <c:showLegendKey val="0"/>
          <c:showVal val="1"/>
          <c:showCatName val="0"/>
          <c:showSerName val="0"/>
          <c:showPercent val="0"/>
          <c:showBubbleSize val="0"/>
        </c:dLbls>
        <c:gapWidth val="100"/>
        <c:overlap val="-24"/>
        <c:axId val="1308695151"/>
        <c:axId val="1308692655"/>
      </c:barChart>
      <c:catAx>
        <c:axId val="13086951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08692655"/>
        <c:crosses val="autoZero"/>
        <c:auto val="1"/>
        <c:lblAlgn val="ctr"/>
        <c:lblOffset val="100"/>
        <c:noMultiLvlLbl val="0"/>
      </c:catAx>
      <c:valAx>
        <c:axId val="1308692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0869515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Revenue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Revenue!$C$19</c:f>
              <c:strCache>
                <c:ptCount val="1"/>
                <c:pt idx="0">
                  <c:v>Revenue</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Revenue!$B$20:$B$21</c:f>
              <c:strCache>
                <c:ptCount val="2"/>
                <c:pt idx="0">
                  <c:v>Premium</c:v>
                </c:pt>
                <c:pt idx="1">
                  <c:v>Regular</c:v>
                </c:pt>
              </c:strCache>
            </c:strRef>
          </c:cat>
          <c:val>
            <c:numRef>
              <c:f>Revenue!$C$20:$C$21</c:f>
              <c:numCache>
                <c:formatCode>General</c:formatCode>
                <c:ptCount val="2"/>
                <c:pt idx="0">
                  <c:v>600</c:v>
                </c:pt>
                <c:pt idx="1">
                  <c:v>14150</c:v>
                </c:pt>
              </c:numCache>
            </c:numRef>
          </c:val>
          <c:extLst>
            <c:ext xmlns:c16="http://schemas.microsoft.com/office/drawing/2014/chart" uri="{C3380CC4-5D6E-409C-BE32-E72D297353CC}">
              <c16:uniqueId val="{00000000-1046-40CA-9007-C24F83669616}"/>
            </c:ext>
          </c:extLst>
        </c:ser>
        <c:dLbls>
          <c:dLblPos val="inEnd"/>
          <c:showLegendKey val="0"/>
          <c:showVal val="1"/>
          <c:showCatName val="0"/>
          <c:showSerName val="0"/>
          <c:showPercent val="0"/>
          <c:showBubbleSize val="0"/>
        </c:dLbls>
        <c:gapWidth val="100"/>
        <c:overlap val="-24"/>
        <c:axId val="1319436575"/>
        <c:axId val="1319438655"/>
      </c:barChart>
      <c:catAx>
        <c:axId val="1319436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19438655"/>
        <c:crosses val="autoZero"/>
        <c:auto val="1"/>
        <c:lblAlgn val="ctr"/>
        <c:lblOffset val="100"/>
        <c:noMultiLvlLbl val="0"/>
      </c:catAx>
      <c:valAx>
        <c:axId val="1319438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1943657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a:t>
            </a:r>
            <a:r>
              <a:rPr lang="en-US"/>
              <a:t>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9.0692038495188101E-2"/>
          <c:y val="0.19486111111111112"/>
          <c:w val="0.86486351706036746"/>
          <c:h val="0.6435808544765238"/>
        </c:manualLayout>
      </c:layout>
      <c:lineChart>
        <c:grouping val="standard"/>
        <c:varyColors val="0"/>
        <c:ser>
          <c:idx val="0"/>
          <c:order val="0"/>
          <c:tx>
            <c:strRef>
              <c:f>Revenue!$C$34</c:f>
              <c:strCache>
                <c:ptCount val="1"/>
                <c:pt idx="0">
                  <c:v>Revenue</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Revenue!$A$35:$B$40</c:f>
              <c:multiLvlStrCache>
                <c:ptCount val="6"/>
                <c:lvl>
                  <c:pt idx="0">
                    <c:v>January</c:v>
                  </c:pt>
                  <c:pt idx="1">
                    <c:v>February</c:v>
                  </c:pt>
                  <c:pt idx="2">
                    <c:v>March</c:v>
                  </c:pt>
                  <c:pt idx="3">
                    <c:v>April</c:v>
                  </c:pt>
                  <c:pt idx="4">
                    <c:v>May</c:v>
                  </c:pt>
                  <c:pt idx="5">
                    <c:v>June</c:v>
                  </c:pt>
                </c:lvl>
                <c:lvl>
                  <c:pt idx="0">
                    <c:v>1</c:v>
                  </c:pt>
                  <c:pt idx="1">
                    <c:v>2</c:v>
                  </c:pt>
                  <c:pt idx="2">
                    <c:v>3</c:v>
                  </c:pt>
                  <c:pt idx="3">
                    <c:v>4</c:v>
                  </c:pt>
                  <c:pt idx="4">
                    <c:v>5</c:v>
                  </c:pt>
                  <c:pt idx="5">
                    <c:v>6</c:v>
                  </c:pt>
                </c:lvl>
              </c:multiLvlStrCache>
            </c:multiLvlStrRef>
          </c:cat>
          <c:val>
            <c:numRef>
              <c:f>Revenue!$C$35:$C$40</c:f>
              <c:numCache>
                <c:formatCode>General</c:formatCode>
                <c:ptCount val="6"/>
                <c:pt idx="0">
                  <c:v>27580</c:v>
                </c:pt>
                <c:pt idx="1">
                  <c:v>18190</c:v>
                </c:pt>
                <c:pt idx="2">
                  <c:v>35550</c:v>
                </c:pt>
                <c:pt idx="3">
                  <c:v>6750</c:v>
                </c:pt>
                <c:pt idx="4">
                  <c:v>14750</c:v>
                </c:pt>
                <c:pt idx="5">
                  <c:v>21220</c:v>
                </c:pt>
              </c:numCache>
            </c:numRef>
          </c:val>
          <c:smooth val="0"/>
          <c:extLst>
            <c:ext xmlns:c16="http://schemas.microsoft.com/office/drawing/2014/chart" uri="{C3380CC4-5D6E-409C-BE32-E72D297353CC}">
              <c16:uniqueId val="{00000000-D4F7-4CAA-A20D-2E9A175D6807}"/>
            </c:ext>
          </c:extLst>
        </c:ser>
        <c:dLbls>
          <c:showLegendKey val="0"/>
          <c:showVal val="0"/>
          <c:showCatName val="0"/>
          <c:showSerName val="0"/>
          <c:showPercent val="0"/>
          <c:showBubbleSize val="0"/>
        </c:dLbls>
        <c:smooth val="0"/>
        <c:axId val="1605858271"/>
        <c:axId val="1605863679"/>
      </c:lineChart>
      <c:catAx>
        <c:axId val="1605858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5863679"/>
        <c:crosses val="autoZero"/>
        <c:auto val="1"/>
        <c:lblAlgn val="ctr"/>
        <c:lblOffset val="100"/>
        <c:noMultiLvlLbl val="0"/>
      </c:catAx>
      <c:valAx>
        <c:axId val="1605863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585827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304799</xdr:colOff>
      <xdr:row>1</xdr:row>
      <xdr:rowOff>19049</xdr:rowOff>
    </xdr:from>
    <xdr:to>
      <xdr:col>11</xdr:col>
      <xdr:colOff>238124</xdr:colOff>
      <xdr:row>13</xdr:row>
      <xdr:rowOff>28574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285751</xdr:colOff>
      <xdr:row>13</xdr:row>
      <xdr:rowOff>123826</xdr:rowOff>
    </xdr:from>
    <xdr:to>
      <xdr:col>11</xdr:col>
      <xdr:colOff>266701</xdr:colOff>
      <xdr:row>28</xdr:row>
      <xdr:rowOff>47626</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561975</xdr:colOff>
      <xdr:row>33</xdr:row>
      <xdr:rowOff>28575</xdr:rowOff>
    </xdr:from>
    <xdr:to>
      <xdr:col>14</xdr:col>
      <xdr:colOff>257175</xdr:colOff>
      <xdr:row>47</xdr:row>
      <xdr:rowOff>104775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xdr:row>
      <xdr:rowOff>9525</xdr:rowOff>
    </xdr:from>
    <xdr:to>
      <xdr:col>6</xdr:col>
      <xdr:colOff>0</xdr:colOff>
      <xdr:row>10</xdr:row>
      <xdr:rowOff>152400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24125" y="390525"/>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600075</xdr:colOff>
      <xdr:row>10</xdr:row>
      <xdr:rowOff>9524</xdr:rowOff>
    </xdr:from>
    <xdr:to>
      <xdr:col>8</xdr:col>
      <xdr:colOff>400051</xdr:colOff>
      <xdr:row>20</xdr:row>
      <xdr:rowOff>28576</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10</xdr:row>
      <xdr:rowOff>9525</xdr:rowOff>
    </xdr:from>
    <xdr:to>
      <xdr:col>13</xdr:col>
      <xdr:colOff>590550</xdr:colOff>
      <xdr:row>20</xdr:row>
      <xdr:rowOff>57150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600074</xdr:colOff>
      <xdr:row>20</xdr:row>
      <xdr:rowOff>123825</xdr:rowOff>
    </xdr:from>
    <xdr:to>
      <xdr:col>13</xdr:col>
      <xdr:colOff>590549</xdr:colOff>
      <xdr:row>29</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L-PC2" refreshedDate="46305.734889004627" backgroundQuery="1" createdVersion="6" refreshedVersion="6" minRefreshableVersion="3" recordCount="0" supportSubquery="1" supportAdvancedDrill="1" xr:uid="{00000000-000A-0000-FFFF-FFFF2F000000}">
  <cacheSource type="external" connectionId="1"/>
  <cacheFields count="3">
    <cacheField name="[Measures].[Sum of Revenue]" caption="Sum of Revenue" numFmtId="0" hierarchy="17" level="32767"/>
    <cacheField name="[Table6].[Month].[Month]" caption="Month" numFmtId="0" hierarchy="12" level="1">
      <sharedItems count="1">
        <s v="April"/>
      </sharedItems>
    </cacheField>
    <cacheField name="[CustomerTransactions].[Region].[Region]" caption="Region" numFmtId="0" hierarchy="11" level="1">
      <sharedItems containsSemiMixedTypes="0" containsNonDate="0" containsString="0"/>
    </cacheField>
  </cacheFields>
  <cacheHierarchies count="18">
    <cacheHierarchy uniqueName="[CustomerTransactions].[TransactionID]" caption="TransactionID" attribute="1" defaultMemberUniqueName="[CustomerTransactions].[TransactionID].[All]" allUniqueName="[CustomerTransactions].[TransactionID].[All]" dimensionUniqueName="[CustomerTransactions]" displayFolder="" count="2" memberValueDatatype="20" unbalanced="0"/>
    <cacheHierarchy uniqueName="[CustomerTransactions].[CustomerID]" caption="CustomerID" attribute="1" defaultMemberUniqueName="[CustomerTransactions].[CustomerID].[All]" allUniqueName="[CustomerTransactions].[CustomerID].[All]" dimensionUniqueName="[CustomerTransactions]" displayFolder="" count="2" memberValueDatatype="130" unbalanced="0"/>
    <cacheHierarchy uniqueName="[CustomerTransactions].[CustomerName]" caption="CustomerName" attribute="1" defaultMemberUniqueName="[CustomerTransactions].[CustomerName].[All]" allUniqueName="[CustomerTransactions].[CustomerName].[All]" dimensionUniqueName="[CustomerTransactions]" displayFolder="" count="2" memberValueDatatype="130" unbalanced="0"/>
    <cacheHierarchy uniqueName="[CustomerTransactions].[CustomerType]" caption="CustomerType" attribute="1" defaultMemberUniqueName="[CustomerTransactions].[CustomerType].[All]" allUniqueName="[CustomerTransactions].[CustomerType].[All]" dimensionUniqueName="[CustomerTransactions]" displayFolder="" count="2" memberValueDatatype="130" unbalanced="0"/>
    <cacheHierarchy uniqueName="[CustomerTransactions].[TransactionDate]" caption="TransactionDate" attribute="1" time="1" defaultMemberUniqueName="[CustomerTransactions].[TransactionDate].[All]" allUniqueName="[CustomerTransactions].[TransactionDate].[All]" dimensionUniqueName="[CustomerTransactions]" displayFolder="" count="2" memberValueDatatype="7" unbalanced="0"/>
    <cacheHierarchy uniqueName="[CustomerTransactions].[Month]" caption="Month" attribute="1" defaultMemberUniqueName="[CustomerTransactions].[Month].[All]" allUniqueName="[CustomerTransactions].[Month].[All]" dimensionUniqueName="[CustomerTransactions]" displayFolder="" count="2" memberValueDatatype="20" unbalanced="0"/>
    <cacheHierarchy uniqueName="[CustomerTransactions].[Product]" caption="Product" attribute="1" defaultMemberUniqueName="[CustomerTransactions].[Product].[All]" allUniqueName="[CustomerTransactions].[Product].[All]" dimensionUniqueName="[CustomerTransactions]" displayFolder="" count="2" memberValueDatatype="130" unbalanced="0"/>
    <cacheHierarchy uniqueName="[CustomerTransactions].[Category]" caption="Category" attribute="1" defaultMemberUniqueName="[CustomerTransactions].[Category].[All]" allUniqueName="[CustomerTransactions].[Category].[All]" dimensionUniqueName="[CustomerTransactions]" displayFolder="" count="2" memberValueDatatype="130" unbalanced="0"/>
    <cacheHierarchy uniqueName="[CustomerTransactions].[Quantity]" caption="Quantity" attribute="1" defaultMemberUniqueName="[CustomerTransactions].[Quantity].[All]" allUniqueName="[CustomerTransactions].[Quantity].[All]" dimensionUniqueName="[CustomerTransactions]" displayFolder="" count="2" memberValueDatatype="20" unbalanced="0"/>
    <cacheHierarchy uniqueName="[CustomerTransactions].[UnitPrice]" caption="UnitPrice" attribute="1" defaultMemberUniqueName="[CustomerTransactions].[UnitPrice].[All]" allUniqueName="[CustomerTransactions].[UnitPrice].[All]" dimensionUniqueName="[CustomerTransactions]" displayFolder="" count="2" memberValueDatatype="20" unbalanced="0"/>
    <cacheHierarchy uniqueName="[CustomerTransactions].[Revenue]" caption="Revenue" attribute="1" defaultMemberUniqueName="[CustomerTransactions].[Revenue].[All]" allUniqueName="[CustomerTransactions].[Revenue].[All]" dimensionUniqueName="[CustomerTransactions]" displayFolder="" count="2" memberValueDatatype="20" unbalanced="0"/>
    <cacheHierarchy uniqueName="[CustomerTransactions].[Region]" caption="Region" attribute="1" defaultMemberUniqueName="[CustomerTransactions].[Region].[All]" allUniqueName="[CustomerTransactions].[Region].[All]" dimensionUniqueName="[CustomerTransactions]" displayFolder="" count="2" memberValueDatatype="130" unbalanced="0">
      <fieldsUsage count="2">
        <fieldUsage x="-1"/>
        <fieldUsage x="2"/>
      </fieldsUsage>
    </cacheHierarchy>
    <cacheHierarchy uniqueName="[Table6].[Month]" caption="Month" attribute="1" defaultMemberUniqueName="[Table6].[Month].[All]" allUniqueName="[Table6].[Month].[All]" dimensionUniqueName="[Table6]" displayFolder="" count="2" memberValueDatatype="130" unbalanced="0">
      <fieldsUsage count="2">
        <fieldUsage x="-1"/>
        <fieldUsage x="1"/>
      </fieldsUsage>
    </cacheHierarchy>
    <cacheHierarchy uniqueName="[Table6].[Monthno]" caption="Monthno" attribute="1" defaultMemberUniqueName="[Table6].[Monthno].[All]" allUniqueName="[Table6].[Monthno].[All]" dimensionUniqueName="[Table6]" displayFolder="" count="2" memberValueDatatype="20" unbalanced="0"/>
    <cacheHierarchy uniqueName="[Measures].[__XL_Count CustomerTransactions]" caption="__XL_Count CustomerTransactions" measure="1" displayFolder="" measureGroup="CustomerTransaction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Revenue]" caption="Sum of Revenue" measure="1" displayFolder="" measureGroup="CustomerTransactions"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3">
    <dimension name="CustomerTransactions" uniqueName="[CustomerTransactions]" caption="CustomerTransactions"/>
    <dimension measure="1" name="Measures" uniqueName="[Measures]" caption="Measures"/>
    <dimension name="Table6" uniqueName="[Table6]" caption="Table6"/>
  </dimensions>
  <measureGroups count="2">
    <measureGroup name="CustomerTransactions" caption="CustomerTransactions"/>
    <measureGroup name="Table6" caption="Table6"/>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L-PC2" refreshedDate="46305.734543171297" backgroundQuery="1" createdVersion="3" refreshedVersion="6" minRefreshableVersion="3" recordCount="0" supportSubquery="1" supportAdvancedDrill="1" xr:uid="{00000000-000A-0000-FFFF-FFFF1A000000}">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CustomerTransactions].[TransactionID]" caption="TransactionID" attribute="1" defaultMemberUniqueName="[CustomerTransactions].[TransactionID].[All]" allUniqueName="[CustomerTransactions].[TransactionID].[All]" dimensionUniqueName="[CustomerTransactions]" displayFolder="" count="0" memberValueDatatype="20" unbalanced="0"/>
    <cacheHierarchy uniqueName="[CustomerTransactions].[CustomerID]" caption="CustomerID" attribute="1" defaultMemberUniqueName="[CustomerTransactions].[CustomerID].[All]" allUniqueName="[CustomerTransactions].[CustomerID].[All]" dimensionUniqueName="[CustomerTransactions]" displayFolder="" count="0" memberValueDatatype="130" unbalanced="0"/>
    <cacheHierarchy uniqueName="[CustomerTransactions].[CustomerName]" caption="CustomerName" attribute="1" defaultMemberUniqueName="[CustomerTransactions].[CustomerName].[All]" allUniqueName="[CustomerTransactions].[CustomerName].[All]" dimensionUniqueName="[CustomerTransactions]" displayFolder="" count="0" memberValueDatatype="130" unbalanced="0"/>
    <cacheHierarchy uniqueName="[CustomerTransactions].[CustomerType]" caption="CustomerType" attribute="1" defaultMemberUniqueName="[CustomerTransactions].[CustomerType].[All]" allUniqueName="[CustomerTransactions].[CustomerType].[All]" dimensionUniqueName="[CustomerTransactions]" displayFolder="" count="0" memberValueDatatype="130" unbalanced="0"/>
    <cacheHierarchy uniqueName="[CustomerTransactions].[TransactionDate]" caption="TransactionDate" attribute="1" time="1" defaultMemberUniqueName="[CustomerTransactions].[TransactionDate].[All]" allUniqueName="[CustomerTransactions].[TransactionDate].[All]" dimensionUniqueName="[CustomerTransactions]" displayFolder="" count="0" memberValueDatatype="7" unbalanced="0"/>
    <cacheHierarchy uniqueName="[CustomerTransactions].[Month]" caption="Month" attribute="1" defaultMemberUniqueName="[CustomerTransactions].[Month].[All]" allUniqueName="[CustomerTransactions].[Month].[All]" dimensionUniqueName="[CustomerTransactions]" displayFolder="" count="0" memberValueDatatype="20" unbalanced="0"/>
    <cacheHierarchy uniqueName="[CustomerTransactions].[Product]" caption="Product" attribute="1" defaultMemberUniqueName="[CustomerTransactions].[Product].[All]" allUniqueName="[CustomerTransactions].[Product].[All]" dimensionUniqueName="[CustomerTransactions]" displayFolder="" count="0" memberValueDatatype="130" unbalanced="0"/>
    <cacheHierarchy uniqueName="[CustomerTransactions].[Category]" caption="Category" attribute="1" defaultMemberUniqueName="[CustomerTransactions].[Category].[All]" allUniqueName="[CustomerTransactions].[Category].[All]" dimensionUniqueName="[CustomerTransactions]" displayFolder="" count="0" memberValueDatatype="130" unbalanced="0"/>
    <cacheHierarchy uniqueName="[CustomerTransactions].[Quantity]" caption="Quantity" attribute="1" defaultMemberUniqueName="[CustomerTransactions].[Quantity].[All]" allUniqueName="[CustomerTransactions].[Quantity].[All]" dimensionUniqueName="[CustomerTransactions]" displayFolder="" count="0" memberValueDatatype="20" unbalanced="0"/>
    <cacheHierarchy uniqueName="[CustomerTransactions].[UnitPrice]" caption="UnitPrice" attribute="1" defaultMemberUniqueName="[CustomerTransactions].[UnitPrice].[All]" allUniqueName="[CustomerTransactions].[UnitPrice].[All]" dimensionUniqueName="[CustomerTransactions]" displayFolder="" count="0" memberValueDatatype="20" unbalanced="0"/>
    <cacheHierarchy uniqueName="[CustomerTransactions].[Revenue]" caption="Revenue" attribute="1" defaultMemberUniqueName="[CustomerTransactions].[Revenue].[All]" allUniqueName="[CustomerTransactions].[Revenue].[All]" dimensionUniqueName="[CustomerTransactions]" displayFolder="" count="0" memberValueDatatype="20" unbalanced="0"/>
    <cacheHierarchy uniqueName="[CustomerTransactions].[Region]" caption="Region" attribute="1" defaultMemberUniqueName="[CustomerTransactions].[Region].[All]" allUniqueName="[CustomerTransactions].[Region].[All]" dimensionUniqueName="[CustomerTransactions]" displayFolder="" count="2" memberValueDatatype="130" unbalanced="0"/>
    <cacheHierarchy uniqueName="[Table6].[Month]" caption="Month" attribute="1" defaultMemberUniqueName="[Table6].[Month].[All]" allUniqueName="[Table6].[Month].[All]" dimensionUniqueName="[Table6]" displayFolder="" count="0" memberValueDatatype="130" unbalanced="0"/>
    <cacheHierarchy uniqueName="[Table6].[Monthno]" caption="Monthno" attribute="1" defaultMemberUniqueName="[Table6].[Monthno].[All]" allUniqueName="[Table6].[Monthno].[All]" dimensionUniqueName="[Table6]" displayFolder="" count="0" memberValueDatatype="20" unbalanced="0"/>
    <cacheHierarchy uniqueName="[Measures].[__XL_Count CustomerTransactions]" caption="__XL_Count CustomerTransactions" measure="1" displayFolder="" measureGroup="CustomerTransaction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Revenue]" caption="Sum of Revenue" measure="1" displayFolder="" measureGroup="CustomerTransaction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2">
    <i>
      <x/>
    </i>
    <i t="grand">
      <x/>
    </i>
  </rowItems>
  <colItems count="1">
    <i/>
  </colItems>
  <dataFields count="1">
    <dataField name="Sum of Revenue" fld="0"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Transactions].[Region].&amp;[Chattogram]"/>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Transactions]"/>
        <x15:activeTabTopLevelEntity name="[Table6]"/>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CustomerTransactions].[Region]">
  <pivotTables>
    <pivotTable tabId="17" name="PivotTable4"/>
  </pivotTables>
  <data>
    <olap pivotCacheId="1">
      <levels count="2">
        <level uniqueName="[CustomerTransactions].[Region].[(All)]" sourceCaption="(All)" count="0"/>
        <level uniqueName="[CustomerTransactions].[Region].[Region]" sourceCaption="Region" count="5">
          <ranges>
            <range startItem="0">
              <i n="[CustomerTransactions].[Region].&amp;[Chattogram]" c="Chattogram"/>
              <i n="[CustomerTransactions].[Region].&amp;[Dhaka]" c="Dhaka"/>
              <i n="[CustomerTransactions].[Region].&amp;[Khulna]" c="Khulna"/>
              <i n="[CustomerTransactions].[Region].&amp;[Rajshahi]" c="Rajshahi"/>
              <i n="[CustomerTransactions].[Region].&amp;[Sylhet]" c="Sylhet"/>
            </range>
          </ranges>
        </level>
      </levels>
      <selections count="1">
        <selection n="[CustomerTransactions].[Region].&amp;[Chattogra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3:C7" totalsRowShown="0">
  <autoFilter ref="B3:C7" xr:uid="{00000000-0009-0000-0100-000004000000}"/>
  <tableColumns count="2">
    <tableColumn id="1" xr3:uid="{00000000-0010-0000-0000-000001000000}" name="Category"/>
    <tableColumn id="2" xr3:uid="{00000000-0010-0000-0000-000002000000}" name="Revenue" dataDxfId="29">
      <calculatedColumnFormula>SUMIFS(CustomerTransactions[Revenue],CustomerTransactions[Month],KPI!H$5,CustomerTransactions[Region],KPI!H$7,CustomerTransactions[Category],B4)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46" displayName="Table46" ref="B19:C21" totalsRowShown="0">
  <autoFilter ref="B19:C21" xr:uid="{00000000-0009-0000-0100-000005000000}"/>
  <tableColumns count="2">
    <tableColumn id="1" xr3:uid="{00000000-0010-0000-0100-000001000000}" name="customertype"/>
    <tableColumn id="2" xr3:uid="{00000000-0010-0000-0100-000002000000}" name="Revenue" dataDxfId="28">
      <calculatedColumnFormula>SUMIFS(CustomerTransactions[Revenue],CustomerTransactions[Month],KPI!H$5,CustomerTransactions[Region],KPI!H$7,CustomerTransactions[CustomerType],Table46[[#This Row],[customertype]])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34:C40" totalsRowShown="0">
  <autoFilter ref="A34:C40" xr:uid="{00000000-0009-0000-0100-000007000000}"/>
  <tableColumns count="3">
    <tableColumn id="1" xr3:uid="{00000000-0010-0000-0200-000001000000}" name="No"/>
    <tableColumn id="2" xr3:uid="{00000000-0010-0000-0200-000002000000}" name="Month"/>
    <tableColumn id="3" xr3:uid="{00000000-0010-0000-0200-000003000000}" name="Revenue">
      <calculatedColumnFormula>SUMIFS(CustomerTransactions[Revenue],CustomerTransactions[Month],A35,CustomerTransactions[Region],KPI!H$7)</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ustomerTransactions" displayName="CustomerTransactions" ref="A1:L101" totalsRowShown="0" headerRowDxfId="27" dataDxfId="25" headerRowBorderDxfId="26" tableBorderDxfId="24" totalsRowBorderDxfId="23">
  <autoFilter ref="A1:L101" xr:uid="{00000000-0009-0000-0100-000002000000}"/>
  <tableColumns count="12">
    <tableColumn id="1" xr3:uid="{00000000-0010-0000-0300-000001000000}" name="TransactionID" dataDxfId="22"/>
    <tableColumn id="2" xr3:uid="{00000000-0010-0000-0300-000002000000}" name="CustomerID" dataDxfId="21"/>
    <tableColumn id="10" xr3:uid="{00000000-0010-0000-0300-00000A000000}" name="CustomerName" dataDxfId="20">
      <calculatedColumnFormula>VLOOKUP(CustomerTransactions[[#This Row],[CustomerID]],CustomerMaster[#All],2,FALSE)</calculatedColumnFormula>
    </tableColumn>
    <tableColumn id="11" xr3:uid="{00000000-0010-0000-0300-00000B000000}" name="CustomerType" dataDxfId="19">
      <calculatedColumnFormula>VLOOKUP(CustomerTransactions[[#This Row],[CustomerID]],CustomerMaster[#All],3,FALSE)</calculatedColumnFormula>
    </tableColumn>
    <tableColumn id="3" xr3:uid="{00000000-0010-0000-0300-000003000000}" name="TransactionDate" dataDxfId="18"/>
    <tableColumn id="12" xr3:uid="{00000000-0010-0000-0300-00000C000000}" name="Month" dataDxfId="17">
      <calculatedColumnFormula>MONTH(CustomerTransactions[[#This Row],[TransactionDate]])</calculatedColumnFormula>
    </tableColumn>
    <tableColumn id="4" xr3:uid="{00000000-0010-0000-0300-000004000000}" name="Product" dataDxfId="16"/>
    <tableColumn id="5" xr3:uid="{00000000-0010-0000-0300-000005000000}" name="Category" dataDxfId="15"/>
    <tableColumn id="6" xr3:uid="{00000000-0010-0000-0300-000006000000}" name="Quantity" dataDxfId="14"/>
    <tableColumn id="7" xr3:uid="{00000000-0010-0000-0300-000007000000}" name="UnitPrice" dataDxfId="13"/>
    <tableColumn id="8" xr3:uid="{00000000-0010-0000-0300-000008000000}" name="Revenue" dataDxfId="12">
      <calculatedColumnFormula>I2*J2</calculatedColumnFormula>
    </tableColumn>
    <tableColumn id="9" xr3:uid="{00000000-0010-0000-0300-000009000000}" name="Region"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N1:O13" totalsRowShown="0" headerRowDxfId="10" headerRowBorderDxfId="9" tableBorderDxfId="8" totalsRowBorderDxfId="7">
  <autoFilter ref="N1:O13" xr:uid="{00000000-0009-0000-0100-000006000000}"/>
  <tableColumns count="2">
    <tableColumn id="1" xr3:uid="{00000000-0010-0000-0400-000001000000}" name="Month" dataDxfId="6"/>
    <tableColumn id="2" xr3:uid="{00000000-0010-0000-0400-000002000000}" name="Monthno" data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CustomerMaster" displayName="CustomerMaster" ref="A1:C21" totalsRowShown="0" headerRowDxfId="4" dataDxfId="3">
  <autoFilter ref="A1:C21" xr:uid="{00000000-0009-0000-0100-000001000000}"/>
  <tableColumns count="3">
    <tableColumn id="1" xr3:uid="{00000000-0010-0000-0500-000001000000}" name="CustomerID" dataDxfId="2"/>
    <tableColumn id="2" xr3:uid="{00000000-0010-0000-0500-000002000000}" name="CustomerName" dataDxfId="1"/>
    <tableColumn id="3" xr3:uid="{00000000-0010-0000-0500-000003000000}" name="Customer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40"/>
  <sheetViews>
    <sheetView topLeftCell="A26" workbookViewId="0">
      <selection activeCell="T45" sqref="T45"/>
    </sheetView>
  </sheetViews>
  <sheetFormatPr defaultRowHeight="14.4" x14ac:dyDescent="0.3"/>
  <cols>
    <col min="2" max="3" width="11" customWidth="1"/>
  </cols>
  <sheetData>
    <row r="3" spans="2:3" x14ac:dyDescent="0.3">
      <c r="B3" t="s">
        <v>3</v>
      </c>
      <c r="C3" t="s">
        <v>6</v>
      </c>
    </row>
    <row r="4" spans="2:3" x14ac:dyDescent="0.3">
      <c r="B4" t="s">
        <v>10</v>
      </c>
      <c r="C4">
        <f>SUMIFS(CustomerTransactions[Revenue],CustomerTransactions[Month],KPI!H$5,CustomerTransactions[Region],KPI!H$7,CustomerTransactions[Category],B4)</f>
        <v>0</v>
      </c>
    </row>
    <row r="5" spans="2:3" x14ac:dyDescent="0.3">
      <c r="B5" t="s">
        <v>18</v>
      </c>
      <c r="C5">
        <f>SUMIFS(CustomerTransactions[Revenue],CustomerTransactions[Month],KPI!H$5,CustomerTransactions[Region],KPI!H$7,CustomerTransactions[Category],B5)</f>
        <v>1500</v>
      </c>
    </row>
    <row r="6" spans="2:3" x14ac:dyDescent="0.3">
      <c r="B6" t="s">
        <v>14</v>
      </c>
      <c r="C6">
        <f>SUMIFS(CustomerTransactions[Revenue],CustomerTransactions[Month],KPI!H$5,CustomerTransactions[Region],KPI!H$7,CustomerTransactions[Category],B6)</f>
        <v>50</v>
      </c>
    </row>
    <row r="7" spans="2:3" x14ac:dyDescent="0.3">
      <c r="B7" t="s">
        <v>26</v>
      </c>
      <c r="C7">
        <f>SUMIFS(CustomerTransactions[Revenue],CustomerTransactions[Month],KPI!H$5,CustomerTransactions[Region],KPI!H$7,CustomerTransactions[Category],B7)</f>
        <v>13200</v>
      </c>
    </row>
    <row r="19" spans="2:3" x14ac:dyDescent="0.3">
      <c r="B19" t="s">
        <v>104</v>
      </c>
      <c r="C19" t="s">
        <v>6</v>
      </c>
    </row>
    <row r="20" spans="2:3" x14ac:dyDescent="0.3">
      <c r="B20" t="s">
        <v>54</v>
      </c>
      <c r="C20">
        <f>SUMIFS(CustomerTransactions[Revenue],CustomerTransactions[Month],KPI!H$5,CustomerTransactions[Region],KPI!H$7,CustomerTransactions[CustomerType],Table46[[#This Row],[customertype]])</f>
        <v>600</v>
      </c>
    </row>
    <row r="21" spans="2:3" x14ac:dyDescent="0.3">
      <c r="B21" t="s">
        <v>59</v>
      </c>
      <c r="C21">
        <f>SUMIFS(CustomerTransactions[Revenue],CustomerTransactions[Month],KPI!H$5,CustomerTransactions[Region],KPI!H$7,CustomerTransactions[CustomerType],Table46[[#This Row],[customertype]])</f>
        <v>14150</v>
      </c>
    </row>
    <row r="34" spans="1:3" x14ac:dyDescent="0.3">
      <c r="A34" t="s">
        <v>105</v>
      </c>
      <c r="B34" t="s">
        <v>79</v>
      </c>
      <c r="C34" t="s">
        <v>6</v>
      </c>
    </row>
    <row r="35" spans="1:3" x14ac:dyDescent="0.3">
      <c r="A35">
        <v>1</v>
      </c>
      <c r="B35" t="s">
        <v>82</v>
      </c>
      <c r="C35">
        <f>SUMIFS(CustomerTransactions[Revenue],CustomerTransactions[Month],A35,CustomerTransactions[Region],KPI!H$7)</f>
        <v>27580</v>
      </c>
    </row>
    <row r="36" spans="1:3" x14ac:dyDescent="0.3">
      <c r="A36">
        <v>2</v>
      </c>
      <c r="B36" t="s">
        <v>83</v>
      </c>
      <c r="C36">
        <f>SUMIFS(CustomerTransactions[Revenue],CustomerTransactions[Month],A36,CustomerTransactions[Region],KPI!H$7)</f>
        <v>18190</v>
      </c>
    </row>
    <row r="37" spans="1:3" x14ac:dyDescent="0.3">
      <c r="A37">
        <v>3</v>
      </c>
      <c r="B37" t="s">
        <v>84</v>
      </c>
      <c r="C37">
        <f>SUMIFS(CustomerTransactions[Revenue],CustomerTransactions[Month],A37,CustomerTransactions[Region],KPI!H$7)</f>
        <v>35550</v>
      </c>
    </row>
    <row r="38" spans="1:3" x14ac:dyDescent="0.3">
      <c r="A38">
        <v>4</v>
      </c>
      <c r="B38" t="s">
        <v>85</v>
      </c>
      <c r="C38">
        <f>SUMIFS(CustomerTransactions[Revenue],CustomerTransactions[Month],A38,CustomerTransactions[Region],KPI!H$7)</f>
        <v>6750</v>
      </c>
    </row>
    <row r="39" spans="1:3" x14ac:dyDescent="0.3">
      <c r="A39">
        <v>5</v>
      </c>
      <c r="B39" t="s">
        <v>86</v>
      </c>
      <c r="C39">
        <f>SUMIFS(CustomerTransactions[Revenue],CustomerTransactions[Month],A39,CustomerTransactions[Region],KPI!H$7)</f>
        <v>14750</v>
      </c>
    </row>
    <row r="40" spans="1:3" x14ac:dyDescent="0.3">
      <c r="A40">
        <v>6</v>
      </c>
      <c r="B40" t="s">
        <v>87</v>
      </c>
      <c r="C40">
        <f>SUMIFS(CustomerTransactions[Revenue],CustomerTransactions[Month],A40,CustomerTransactions[Region],KPI!H$7)</f>
        <v>21220</v>
      </c>
    </row>
  </sheetData>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5"/>
  <sheetViews>
    <sheetView workbookViewId="0">
      <selection activeCell="F21" sqref="F21"/>
    </sheetView>
  </sheetViews>
  <sheetFormatPr defaultRowHeight="14.4" x14ac:dyDescent="0.3"/>
  <cols>
    <col min="1" max="1" width="13.109375" customWidth="1"/>
    <col min="2" max="2" width="15.5546875" bestFit="1" customWidth="1"/>
  </cols>
  <sheetData>
    <row r="3" spans="1:2" x14ac:dyDescent="0.3">
      <c r="A3" s="27" t="s">
        <v>106</v>
      </c>
      <c r="B3" t="s">
        <v>108</v>
      </c>
    </row>
    <row r="4" spans="1:2" x14ac:dyDescent="0.3">
      <c r="A4" s="28" t="s">
        <v>85</v>
      </c>
      <c r="B4" s="3">
        <v>124040</v>
      </c>
    </row>
    <row r="5" spans="1:2" x14ac:dyDescent="0.3">
      <c r="A5" s="28" t="s">
        <v>107</v>
      </c>
      <c r="B5" s="3">
        <v>124040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7"/>
  <sheetViews>
    <sheetView zoomScale="85" zoomScaleNormal="85" workbookViewId="0">
      <pane ySplit="1" topLeftCell="A2" activePane="bottomLeft" state="frozen"/>
      <selection pane="bottomLeft" activeCell="F25" sqref="F25"/>
    </sheetView>
  </sheetViews>
  <sheetFormatPr defaultColWidth="8.6640625" defaultRowHeight="14.4" x14ac:dyDescent="0.3"/>
  <cols>
    <col min="1" max="1" width="6.109375" bestFit="1" customWidth="1"/>
    <col min="2" max="2" width="17.6640625" bestFit="1" customWidth="1"/>
    <col min="3" max="3" width="21.33203125" bestFit="1" customWidth="1"/>
    <col min="4" max="4" width="20.5546875" bestFit="1" customWidth="1"/>
    <col min="5" max="5" width="22.5546875" customWidth="1"/>
    <col min="6" max="6" width="12" style="3" customWidth="1"/>
    <col min="7" max="7" width="14.109375" bestFit="1" customWidth="1"/>
    <col min="8" max="8" width="14.6640625" bestFit="1" customWidth="1"/>
    <col min="9" max="9" width="14" customWidth="1"/>
    <col min="10" max="10" width="15" customWidth="1"/>
    <col min="11" max="11" width="14.88671875" customWidth="1"/>
    <col min="12" max="12" width="12.88671875" customWidth="1"/>
    <col min="14" max="14" width="11.5546875" customWidth="1"/>
    <col min="15" max="15" width="11.44140625" customWidth="1"/>
    <col min="17" max="17" width="11.5546875" bestFit="1" customWidth="1"/>
  </cols>
  <sheetData>
    <row r="1" spans="1:17" ht="15.6" x14ac:dyDescent="0.3">
      <c r="A1" s="4" t="s">
        <v>80</v>
      </c>
      <c r="B1" s="5" t="s">
        <v>0</v>
      </c>
      <c r="C1" s="5" t="s">
        <v>51</v>
      </c>
      <c r="D1" s="5" t="s">
        <v>52</v>
      </c>
      <c r="E1" s="5" t="s">
        <v>1</v>
      </c>
      <c r="F1" s="6" t="s">
        <v>79</v>
      </c>
      <c r="G1" s="5" t="s">
        <v>2</v>
      </c>
      <c r="H1" s="5" t="s">
        <v>3</v>
      </c>
      <c r="I1" s="5" t="s">
        <v>4</v>
      </c>
      <c r="J1" s="5" t="s">
        <v>5</v>
      </c>
      <c r="K1" s="5" t="s">
        <v>6</v>
      </c>
      <c r="L1" s="7" t="s">
        <v>7</v>
      </c>
      <c r="N1" s="31" t="s">
        <v>79</v>
      </c>
      <c r="O1" s="32" t="s">
        <v>81</v>
      </c>
      <c r="Q1" s="21" t="s">
        <v>7</v>
      </c>
    </row>
    <row r="2" spans="1:17" x14ac:dyDescent="0.3">
      <c r="A2" s="8">
        <v>1001</v>
      </c>
      <c r="B2" s="9" t="s">
        <v>8</v>
      </c>
      <c r="C2" s="9" t="str">
        <f>VLOOKUP(CustomerTransactions[[#This Row],[CustomerID]],CustomerMaster[#All],2,FALSE)</f>
        <v>Kamal Hossain</v>
      </c>
      <c r="D2" s="9" t="str">
        <f>VLOOKUP(CustomerTransactions[[#This Row],[CustomerID]],CustomerMaster[#All],3,FALSE)</f>
        <v>Regular</v>
      </c>
      <c r="E2" s="10">
        <v>45300</v>
      </c>
      <c r="F2" s="11">
        <f>MONTH(CustomerTransactions[[#This Row],[TransactionDate]])</f>
        <v>1</v>
      </c>
      <c r="G2" s="9" t="s">
        <v>9</v>
      </c>
      <c r="H2" s="9" t="s">
        <v>10</v>
      </c>
      <c r="I2" s="9">
        <v>6</v>
      </c>
      <c r="J2" s="12">
        <v>30</v>
      </c>
      <c r="K2" s="12">
        <f t="shared" ref="K2:K33" si="0">I2*J2</f>
        <v>180</v>
      </c>
      <c r="L2" s="13" t="s">
        <v>11</v>
      </c>
      <c r="N2" s="29" t="s">
        <v>82</v>
      </c>
      <c r="O2" s="30">
        <v>1</v>
      </c>
      <c r="Q2" s="20" t="s">
        <v>11</v>
      </c>
    </row>
    <row r="3" spans="1:17" x14ac:dyDescent="0.3">
      <c r="A3" s="8">
        <v>1002</v>
      </c>
      <c r="B3" s="9" t="s">
        <v>12</v>
      </c>
      <c r="C3" s="9" t="str">
        <f>VLOOKUP(CustomerTransactions[[#This Row],[CustomerID]],CustomerMaster[#All],2,FALSE)</f>
        <v>Ruma Begum</v>
      </c>
      <c r="D3" s="9" t="str">
        <f>VLOOKUP(CustomerTransactions[[#This Row],[CustomerID]],CustomerMaster[#All],3,FALSE)</f>
        <v>Premium</v>
      </c>
      <c r="E3" s="10">
        <v>45360</v>
      </c>
      <c r="F3" s="11">
        <f>MONTH(CustomerTransactions[[#This Row],[TransactionDate]])</f>
        <v>3</v>
      </c>
      <c r="G3" s="9" t="s">
        <v>13</v>
      </c>
      <c r="H3" s="9" t="s">
        <v>14</v>
      </c>
      <c r="I3" s="9">
        <v>4</v>
      </c>
      <c r="J3" s="12">
        <v>200</v>
      </c>
      <c r="K3" s="12">
        <f t="shared" si="0"/>
        <v>800</v>
      </c>
      <c r="L3" s="13" t="s">
        <v>15</v>
      </c>
      <c r="N3" s="29" t="s">
        <v>83</v>
      </c>
      <c r="O3" s="30">
        <v>2</v>
      </c>
      <c r="Q3" s="20" t="s">
        <v>15</v>
      </c>
    </row>
    <row r="4" spans="1:17" x14ac:dyDescent="0.3">
      <c r="A4" s="8">
        <v>1003</v>
      </c>
      <c r="B4" s="9" t="s">
        <v>16</v>
      </c>
      <c r="C4" s="9" t="str">
        <f>VLOOKUP(CustomerTransactions[[#This Row],[CustomerID]],CustomerMaster[#All],2,FALSE)</f>
        <v>Shirin Khan</v>
      </c>
      <c r="D4" s="9" t="str">
        <f>VLOOKUP(CustomerTransactions[[#This Row],[CustomerID]],CustomerMaster[#All],3,FALSE)</f>
        <v>Regular</v>
      </c>
      <c r="E4" s="10">
        <v>45372</v>
      </c>
      <c r="F4" s="11">
        <f>MONTH(CustomerTransactions[[#This Row],[TransactionDate]])</f>
        <v>3</v>
      </c>
      <c r="G4" s="9" t="s">
        <v>17</v>
      </c>
      <c r="H4" s="9" t="s">
        <v>18</v>
      </c>
      <c r="I4" s="9">
        <v>8</v>
      </c>
      <c r="J4" s="12">
        <v>1200</v>
      </c>
      <c r="K4" s="12">
        <f t="shared" si="0"/>
        <v>9600</v>
      </c>
      <c r="L4" s="13" t="s">
        <v>19</v>
      </c>
      <c r="N4" s="29" t="s">
        <v>84</v>
      </c>
      <c r="O4" s="30">
        <v>3</v>
      </c>
      <c r="Q4" s="20" t="s">
        <v>19</v>
      </c>
    </row>
    <row r="5" spans="1:17" x14ac:dyDescent="0.3">
      <c r="A5" s="8">
        <v>1004</v>
      </c>
      <c r="B5" s="9" t="s">
        <v>12</v>
      </c>
      <c r="C5" s="9" t="str">
        <f>VLOOKUP(CustomerTransactions[[#This Row],[CustomerID]],CustomerMaster[#All],2,FALSE)</f>
        <v>Ruma Begum</v>
      </c>
      <c r="D5" s="9" t="str">
        <f>VLOOKUP(CustomerTransactions[[#This Row],[CustomerID]],CustomerMaster[#All],3,FALSE)</f>
        <v>Premium</v>
      </c>
      <c r="E5" s="10">
        <v>45456</v>
      </c>
      <c r="F5" s="11">
        <f>MONTH(CustomerTransactions[[#This Row],[TransactionDate]])</f>
        <v>6</v>
      </c>
      <c r="G5" s="9" t="s">
        <v>20</v>
      </c>
      <c r="H5" s="9" t="s">
        <v>14</v>
      </c>
      <c r="I5" s="9">
        <v>3</v>
      </c>
      <c r="J5" s="12">
        <v>350</v>
      </c>
      <c r="K5" s="12">
        <f t="shared" si="0"/>
        <v>1050</v>
      </c>
      <c r="L5" s="13" t="s">
        <v>15</v>
      </c>
      <c r="N5" s="29" t="s">
        <v>85</v>
      </c>
      <c r="O5" s="30">
        <v>4</v>
      </c>
      <c r="Q5" s="20" t="s">
        <v>30</v>
      </c>
    </row>
    <row r="6" spans="1:17" x14ac:dyDescent="0.3">
      <c r="A6" s="8">
        <v>1005</v>
      </c>
      <c r="B6" s="9" t="s">
        <v>21</v>
      </c>
      <c r="C6" s="9" t="str">
        <f>VLOOKUP(CustomerTransactions[[#This Row],[CustomerID]],CustomerMaster[#All],2,FALSE)</f>
        <v>Nusrat Akter</v>
      </c>
      <c r="D6" s="9" t="str">
        <f>VLOOKUP(CustomerTransactions[[#This Row],[CustomerID]],CustomerMaster[#All],3,FALSE)</f>
        <v>Premium</v>
      </c>
      <c r="E6" s="10">
        <v>45327</v>
      </c>
      <c r="F6" s="11">
        <f>MONTH(CustomerTransactions[[#This Row],[TransactionDate]])</f>
        <v>2</v>
      </c>
      <c r="G6" s="9" t="s">
        <v>17</v>
      </c>
      <c r="H6" s="9" t="s">
        <v>18</v>
      </c>
      <c r="I6" s="9">
        <v>9</v>
      </c>
      <c r="J6" s="12">
        <v>1200</v>
      </c>
      <c r="K6" s="12">
        <f t="shared" si="0"/>
        <v>10800</v>
      </c>
      <c r="L6" s="13" t="s">
        <v>19</v>
      </c>
      <c r="N6" s="29" t="s">
        <v>86</v>
      </c>
      <c r="O6" s="30">
        <v>5</v>
      </c>
      <c r="Q6" s="20" t="s">
        <v>34</v>
      </c>
    </row>
    <row r="7" spans="1:17" x14ac:dyDescent="0.3">
      <c r="A7" s="8">
        <v>1006</v>
      </c>
      <c r="B7" s="9" t="s">
        <v>22</v>
      </c>
      <c r="C7" s="9" t="str">
        <f>VLOOKUP(CustomerTransactions[[#This Row],[CustomerID]],CustomerMaster[#All],2,FALSE)</f>
        <v>Karim Sarker</v>
      </c>
      <c r="D7" s="9" t="str">
        <f>VLOOKUP(CustomerTransactions[[#This Row],[CustomerID]],CustomerMaster[#All],3,FALSE)</f>
        <v>Premium</v>
      </c>
      <c r="E7" s="10">
        <v>45359</v>
      </c>
      <c r="F7" s="11">
        <f>MONTH(CustomerTransactions[[#This Row],[TransactionDate]])</f>
        <v>3</v>
      </c>
      <c r="G7" s="9" t="s">
        <v>23</v>
      </c>
      <c r="H7" s="9" t="s">
        <v>10</v>
      </c>
      <c r="I7" s="9">
        <v>10</v>
      </c>
      <c r="J7" s="12">
        <v>20</v>
      </c>
      <c r="K7" s="12">
        <f t="shared" si="0"/>
        <v>200</v>
      </c>
      <c r="L7" s="13" t="s">
        <v>11</v>
      </c>
      <c r="N7" s="29" t="s">
        <v>87</v>
      </c>
      <c r="O7" s="30">
        <v>6</v>
      </c>
    </row>
    <row r="8" spans="1:17" x14ac:dyDescent="0.3">
      <c r="A8" s="8">
        <v>1007</v>
      </c>
      <c r="B8" s="9" t="s">
        <v>24</v>
      </c>
      <c r="C8" s="9" t="str">
        <f>VLOOKUP(CustomerTransactions[[#This Row],[CustomerID]],CustomerMaster[#All],2,FALSE)</f>
        <v>Karim Ahmed</v>
      </c>
      <c r="D8" s="9" t="str">
        <f>VLOOKUP(CustomerTransactions[[#This Row],[CustomerID]],CustomerMaster[#All],3,FALSE)</f>
        <v>Regular</v>
      </c>
      <c r="E8" s="10">
        <v>45441</v>
      </c>
      <c r="F8" s="11">
        <f>MONTH(CustomerTransactions[[#This Row],[TransactionDate]])</f>
        <v>5</v>
      </c>
      <c r="G8" s="9" t="s">
        <v>25</v>
      </c>
      <c r="H8" s="9" t="s">
        <v>26</v>
      </c>
      <c r="I8" s="9">
        <v>6</v>
      </c>
      <c r="J8" s="12">
        <v>2200</v>
      </c>
      <c r="K8" s="12">
        <f t="shared" si="0"/>
        <v>13200</v>
      </c>
      <c r="L8" s="13" t="s">
        <v>11</v>
      </c>
      <c r="N8" s="29" t="s">
        <v>88</v>
      </c>
      <c r="O8" s="30">
        <v>7</v>
      </c>
    </row>
    <row r="9" spans="1:17" x14ac:dyDescent="0.3">
      <c r="A9" s="8">
        <v>1008</v>
      </c>
      <c r="B9" s="9" t="s">
        <v>8</v>
      </c>
      <c r="C9" s="9" t="str">
        <f>VLOOKUP(CustomerTransactions[[#This Row],[CustomerID]],CustomerMaster[#All],2,FALSE)</f>
        <v>Kamal Hossain</v>
      </c>
      <c r="D9" s="9" t="str">
        <f>VLOOKUP(CustomerTransactions[[#This Row],[CustomerID]],CustomerMaster[#All],3,FALSE)</f>
        <v>Regular</v>
      </c>
      <c r="E9" s="10">
        <v>45327</v>
      </c>
      <c r="F9" s="11">
        <f>MONTH(CustomerTransactions[[#This Row],[TransactionDate]])</f>
        <v>2</v>
      </c>
      <c r="G9" s="9" t="s">
        <v>27</v>
      </c>
      <c r="H9" s="9" t="s">
        <v>18</v>
      </c>
      <c r="I9" s="9">
        <v>8</v>
      </c>
      <c r="J9" s="12">
        <v>400</v>
      </c>
      <c r="K9" s="12">
        <f t="shared" si="0"/>
        <v>3200</v>
      </c>
      <c r="L9" s="13" t="s">
        <v>11</v>
      </c>
      <c r="N9" s="29" t="s">
        <v>89</v>
      </c>
      <c r="O9" s="30">
        <v>8</v>
      </c>
    </row>
    <row r="10" spans="1:17" x14ac:dyDescent="0.3">
      <c r="A10" s="8">
        <v>1009</v>
      </c>
      <c r="B10" s="9" t="s">
        <v>28</v>
      </c>
      <c r="C10" s="9" t="str">
        <f>VLOOKUP(CustomerTransactions[[#This Row],[CustomerID]],CustomerMaster[#All],2,FALSE)</f>
        <v>Mahmud Chowdhury</v>
      </c>
      <c r="D10" s="9" t="str">
        <f>VLOOKUP(CustomerTransactions[[#This Row],[CustomerID]],CustomerMaster[#All],3,FALSE)</f>
        <v>Premium</v>
      </c>
      <c r="E10" s="10">
        <v>45304</v>
      </c>
      <c r="F10" s="11">
        <f>MONTH(CustomerTransactions[[#This Row],[TransactionDate]])</f>
        <v>1</v>
      </c>
      <c r="G10" s="9" t="s">
        <v>29</v>
      </c>
      <c r="H10" s="9" t="s">
        <v>26</v>
      </c>
      <c r="I10" s="9">
        <v>2</v>
      </c>
      <c r="J10" s="12">
        <v>300</v>
      </c>
      <c r="K10" s="12">
        <f t="shared" si="0"/>
        <v>600</v>
      </c>
      <c r="L10" s="13" t="s">
        <v>30</v>
      </c>
      <c r="N10" s="29" t="s">
        <v>90</v>
      </c>
      <c r="O10" s="30">
        <v>9</v>
      </c>
    </row>
    <row r="11" spans="1:17" x14ac:dyDescent="0.3">
      <c r="A11" s="8">
        <v>1010</v>
      </c>
      <c r="B11" s="9" t="s">
        <v>31</v>
      </c>
      <c r="C11" s="9" t="str">
        <f>VLOOKUP(CustomerTransactions[[#This Row],[CustomerID]],CustomerMaster[#All],2,FALSE)</f>
        <v>Lucky Islam</v>
      </c>
      <c r="D11" s="9" t="str">
        <f>VLOOKUP(CustomerTransactions[[#This Row],[CustomerID]],CustomerMaster[#All],3,FALSE)</f>
        <v>Regular</v>
      </c>
      <c r="E11" s="10">
        <v>45452</v>
      </c>
      <c r="F11" s="11">
        <f>MONTH(CustomerTransactions[[#This Row],[TransactionDate]])</f>
        <v>6</v>
      </c>
      <c r="G11" s="9" t="s">
        <v>32</v>
      </c>
      <c r="H11" s="9" t="s">
        <v>14</v>
      </c>
      <c r="I11" s="9">
        <v>7</v>
      </c>
      <c r="J11" s="12">
        <v>250</v>
      </c>
      <c r="K11" s="12">
        <f t="shared" si="0"/>
        <v>1750</v>
      </c>
      <c r="L11" s="13" t="s">
        <v>15</v>
      </c>
      <c r="N11" s="29" t="s">
        <v>91</v>
      </c>
      <c r="O11" s="30">
        <v>10</v>
      </c>
    </row>
    <row r="12" spans="1:17" x14ac:dyDescent="0.3">
      <c r="A12" s="8">
        <v>1011</v>
      </c>
      <c r="B12" s="9" t="s">
        <v>33</v>
      </c>
      <c r="C12" s="9" t="str">
        <f>VLOOKUP(CustomerTransactions[[#This Row],[CustomerID]],CustomerMaster[#All],2,FALSE)</f>
        <v>Lucky Islam</v>
      </c>
      <c r="D12" s="9" t="str">
        <f>VLOOKUP(CustomerTransactions[[#This Row],[CustomerID]],CustomerMaster[#All],3,FALSE)</f>
        <v>Premium</v>
      </c>
      <c r="E12" s="10">
        <v>45308</v>
      </c>
      <c r="F12" s="11">
        <f>MONTH(CustomerTransactions[[#This Row],[TransactionDate]])</f>
        <v>1</v>
      </c>
      <c r="G12" s="9" t="s">
        <v>25</v>
      </c>
      <c r="H12" s="9" t="s">
        <v>26</v>
      </c>
      <c r="I12" s="9">
        <v>7</v>
      </c>
      <c r="J12" s="12">
        <v>2200</v>
      </c>
      <c r="K12" s="12">
        <f t="shared" si="0"/>
        <v>15400</v>
      </c>
      <c r="L12" s="13" t="s">
        <v>34</v>
      </c>
      <c r="N12" s="29" t="s">
        <v>92</v>
      </c>
      <c r="O12" s="30">
        <v>11</v>
      </c>
    </row>
    <row r="13" spans="1:17" x14ac:dyDescent="0.3">
      <c r="A13" s="8">
        <v>1012</v>
      </c>
      <c r="B13" s="9" t="s">
        <v>33</v>
      </c>
      <c r="C13" s="9" t="str">
        <f>VLOOKUP(CustomerTransactions[[#This Row],[CustomerID]],CustomerMaster[#All],2,FALSE)</f>
        <v>Lucky Islam</v>
      </c>
      <c r="D13" s="9" t="str">
        <f>VLOOKUP(CustomerTransactions[[#This Row],[CustomerID]],CustomerMaster[#All],3,FALSE)</f>
        <v>Premium</v>
      </c>
      <c r="E13" s="10">
        <v>45411</v>
      </c>
      <c r="F13" s="11">
        <f>MONTH(CustomerTransactions[[#This Row],[TransactionDate]])</f>
        <v>4</v>
      </c>
      <c r="G13" s="9" t="s">
        <v>27</v>
      </c>
      <c r="H13" s="9" t="s">
        <v>18</v>
      </c>
      <c r="I13" s="9">
        <v>5</v>
      </c>
      <c r="J13" s="12">
        <v>400</v>
      </c>
      <c r="K13" s="12">
        <f t="shared" si="0"/>
        <v>2000</v>
      </c>
      <c r="L13" s="13" t="s">
        <v>34</v>
      </c>
      <c r="N13" s="33" t="s">
        <v>93</v>
      </c>
      <c r="O13" s="23">
        <v>12</v>
      </c>
    </row>
    <row r="14" spans="1:17" x14ac:dyDescent="0.3">
      <c r="A14" s="8">
        <v>1013</v>
      </c>
      <c r="B14" s="9" t="s">
        <v>22</v>
      </c>
      <c r="C14" s="9" t="str">
        <f>VLOOKUP(CustomerTransactions[[#This Row],[CustomerID]],CustomerMaster[#All],2,FALSE)</f>
        <v>Karim Sarker</v>
      </c>
      <c r="D14" s="9" t="str">
        <f>VLOOKUP(CustomerTransactions[[#This Row],[CustomerID]],CustomerMaster[#All],3,FALSE)</f>
        <v>Premium</v>
      </c>
      <c r="E14" s="10">
        <v>45294</v>
      </c>
      <c r="F14" s="11">
        <f>MONTH(CustomerTransactions[[#This Row],[TransactionDate]])</f>
        <v>1</v>
      </c>
      <c r="G14" s="9" t="s">
        <v>35</v>
      </c>
      <c r="H14" s="9" t="s">
        <v>18</v>
      </c>
      <c r="I14" s="9">
        <v>2</v>
      </c>
      <c r="J14" s="12">
        <v>700</v>
      </c>
      <c r="K14" s="12">
        <f t="shared" si="0"/>
        <v>1400</v>
      </c>
      <c r="L14" s="13" t="s">
        <v>11</v>
      </c>
    </row>
    <row r="15" spans="1:17" x14ac:dyDescent="0.3">
      <c r="A15" s="8">
        <v>1014</v>
      </c>
      <c r="B15" s="9" t="s">
        <v>22</v>
      </c>
      <c r="C15" s="9" t="str">
        <f>VLOOKUP(CustomerTransactions[[#This Row],[CustomerID]],CustomerMaster[#All],2,FALSE)</f>
        <v>Karim Sarker</v>
      </c>
      <c r="D15" s="9" t="str">
        <f>VLOOKUP(CustomerTransactions[[#This Row],[CustomerID]],CustomerMaster[#All],3,FALSE)</f>
        <v>Premium</v>
      </c>
      <c r="E15" s="10">
        <v>45360</v>
      </c>
      <c r="F15" s="11">
        <f>MONTH(CustomerTransactions[[#This Row],[TransactionDate]])</f>
        <v>3</v>
      </c>
      <c r="G15" s="9" t="s">
        <v>9</v>
      </c>
      <c r="H15" s="9" t="s">
        <v>10</v>
      </c>
      <c r="I15" s="9">
        <v>6</v>
      </c>
      <c r="J15" s="12">
        <v>30</v>
      </c>
      <c r="K15" s="12">
        <f t="shared" si="0"/>
        <v>180</v>
      </c>
      <c r="L15" s="13" t="s">
        <v>11</v>
      </c>
    </row>
    <row r="16" spans="1:17" x14ac:dyDescent="0.3">
      <c r="A16" s="8">
        <v>1015</v>
      </c>
      <c r="B16" s="9" t="s">
        <v>36</v>
      </c>
      <c r="C16" s="9" t="str">
        <f>VLOOKUP(CustomerTransactions[[#This Row],[CustomerID]],CustomerMaster[#All],2,FALSE)</f>
        <v>Karim Islam</v>
      </c>
      <c r="D16" s="9" t="str">
        <f>VLOOKUP(CustomerTransactions[[#This Row],[CustomerID]],CustomerMaster[#All],3,FALSE)</f>
        <v>Premium</v>
      </c>
      <c r="E16" s="10">
        <v>45367</v>
      </c>
      <c r="F16" s="11">
        <f>MONTH(CustomerTransactions[[#This Row],[TransactionDate]])</f>
        <v>3</v>
      </c>
      <c r="G16" s="9" t="s">
        <v>25</v>
      </c>
      <c r="H16" s="9" t="s">
        <v>26</v>
      </c>
      <c r="I16" s="9">
        <v>3</v>
      </c>
      <c r="J16" s="12">
        <v>2200</v>
      </c>
      <c r="K16" s="12">
        <f t="shared" si="0"/>
        <v>6600</v>
      </c>
      <c r="L16" s="13" t="s">
        <v>11</v>
      </c>
    </row>
    <row r="17" spans="1:12" x14ac:dyDescent="0.3">
      <c r="A17" s="8">
        <v>1016</v>
      </c>
      <c r="B17" s="9" t="s">
        <v>37</v>
      </c>
      <c r="C17" s="9" t="str">
        <f>VLOOKUP(CustomerTransactions[[#This Row],[CustomerID]],CustomerMaster[#All],2,FALSE)</f>
        <v>Karim Islam</v>
      </c>
      <c r="D17" s="9" t="str">
        <f>VLOOKUP(CustomerTransactions[[#This Row],[CustomerID]],CustomerMaster[#All],3,FALSE)</f>
        <v>Regular</v>
      </c>
      <c r="E17" s="10">
        <v>45292</v>
      </c>
      <c r="F17" s="11">
        <f>MONTH(CustomerTransactions[[#This Row],[TransactionDate]])</f>
        <v>1</v>
      </c>
      <c r="G17" s="9" t="s">
        <v>23</v>
      </c>
      <c r="H17" s="9" t="s">
        <v>10</v>
      </c>
      <c r="I17" s="9">
        <v>5</v>
      </c>
      <c r="J17" s="12">
        <v>20</v>
      </c>
      <c r="K17" s="12">
        <f t="shared" si="0"/>
        <v>100</v>
      </c>
      <c r="L17" s="13" t="s">
        <v>30</v>
      </c>
    </row>
    <row r="18" spans="1:12" x14ac:dyDescent="0.3">
      <c r="A18" s="8">
        <v>1017</v>
      </c>
      <c r="B18" s="9" t="s">
        <v>38</v>
      </c>
      <c r="C18" s="9" t="str">
        <f>VLOOKUP(CustomerTransactions[[#This Row],[CustomerID]],CustomerMaster[#All],2,FALSE)</f>
        <v>Nasrin Begum</v>
      </c>
      <c r="D18" s="9" t="str">
        <f>VLOOKUP(CustomerTransactions[[#This Row],[CustomerID]],CustomerMaster[#All],3,FALSE)</f>
        <v>Regular</v>
      </c>
      <c r="E18" s="10">
        <v>45337</v>
      </c>
      <c r="F18" s="11">
        <f>MONTH(CustomerTransactions[[#This Row],[TransactionDate]])</f>
        <v>2</v>
      </c>
      <c r="G18" s="9" t="s">
        <v>27</v>
      </c>
      <c r="H18" s="9" t="s">
        <v>18</v>
      </c>
      <c r="I18" s="9">
        <v>2</v>
      </c>
      <c r="J18" s="12">
        <v>400</v>
      </c>
      <c r="K18" s="12">
        <f t="shared" si="0"/>
        <v>800</v>
      </c>
      <c r="L18" s="13" t="s">
        <v>11</v>
      </c>
    </row>
    <row r="19" spans="1:12" x14ac:dyDescent="0.3">
      <c r="A19" s="8">
        <v>1018</v>
      </c>
      <c r="B19" s="9" t="s">
        <v>39</v>
      </c>
      <c r="C19" s="9" t="str">
        <f>VLOOKUP(CustomerTransactions[[#This Row],[CustomerID]],CustomerMaster[#All],2,FALSE)</f>
        <v>Nasrin Begum</v>
      </c>
      <c r="D19" s="9" t="str">
        <f>VLOOKUP(CustomerTransactions[[#This Row],[CustomerID]],CustomerMaster[#All],3,FALSE)</f>
        <v>Regular</v>
      </c>
      <c r="E19" s="10">
        <v>45455</v>
      </c>
      <c r="F19" s="11">
        <f>MONTH(CustomerTransactions[[#This Row],[TransactionDate]])</f>
        <v>6</v>
      </c>
      <c r="G19" s="9" t="s">
        <v>27</v>
      </c>
      <c r="H19" s="9" t="s">
        <v>18</v>
      </c>
      <c r="I19" s="9">
        <v>10</v>
      </c>
      <c r="J19" s="12">
        <v>400</v>
      </c>
      <c r="K19" s="12">
        <f t="shared" si="0"/>
        <v>4000</v>
      </c>
      <c r="L19" s="13" t="s">
        <v>15</v>
      </c>
    </row>
    <row r="20" spans="1:12" x14ac:dyDescent="0.3">
      <c r="A20" s="8">
        <v>1019</v>
      </c>
      <c r="B20" s="9" t="s">
        <v>40</v>
      </c>
      <c r="C20" s="9" t="str">
        <f>VLOOKUP(CustomerTransactions[[#This Row],[CustomerID]],CustomerMaster[#All],2,FALSE)</f>
        <v>Rahim Hossain</v>
      </c>
      <c r="D20" s="9" t="str">
        <f>VLOOKUP(CustomerTransactions[[#This Row],[CustomerID]],CustomerMaster[#All],3,FALSE)</f>
        <v>Regular</v>
      </c>
      <c r="E20" s="10">
        <v>45331</v>
      </c>
      <c r="F20" s="11">
        <f>MONTH(CustomerTransactions[[#This Row],[TransactionDate]])</f>
        <v>2</v>
      </c>
      <c r="G20" s="9" t="s">
        <v>41</v>
      </c>
      <c r="H20" s="9" t="s">
        <v>26</v>
      </c>
      <c r="I20" s="9">
        <v>3</v>
      </c>
      <c r="J20" s="12">
        <v>1500</v>
      </c>
      <c r="K20" s="12">
        <f t="shared" si="0"/>
        <v>4500</v>
      </c>
      <c r="L20" s="13" t="s">
        <v>19</v>
      </c>
    </row>
    <row r="21" spans="1:12" x14ac:dyDescent="0.3">
      <c r="A21" s="8">
        <v>1020</v>
      </c>
      <c r="B21" s="9" t="s">
        <v>22</v>
      </c>
      <c r="C21" s="9" t="str">
        <f>VLOOKUP(CustomerTransactions[[#This Row],[CustomerID]],CustomerMaster[#All],2,FALSE)</f>
        <v>Karim Sarker</v>
      </c>
      <c r="D21" s="9" t="str">
        <f>VLOOKUP(CustomerTransactions[[#This Row],[CustomerID]],CustomerMaster[#All],3,FALSE)</f>
        <v>Premium</v>
      </c>
      <c r="E21" s="10">
        <v>45427</v>
      </c>
      <c r="F21" s="11">
        <f>MONTH(CustomerTransactions[[#This Row],[TransactionDate]])</f>
        <v>5</v>
      </c>
      <c r="G21" s="9" t="s">
        <v>42</v>
      </c>
      <c r="H21" s="9" t="s">
        <v>18</v>
      </c>
      <c r="I21" s="9">
        <v>1</v>
      </c>
      <c r="J21" s="12">
        <v>600</v>
      </c>
      <c r="K21" s="12">
        <f t="shared" si="0"/>
        <v>600</v>
      </c>
      <c r="L21" s="13" t="s">
        <v>11</v>
      </c>
    </row>
    <row r="22" spans="1:12" x14ac:dyDescent="0.3">
      <c r="A22" s="8">
        <v>1021</v>
      </c>
      <c r="B22" s="9" t="s">
        <v>33</v>
      </c>
      <c r="C22" s="9" t="str">
        <f>VLOOKUP(CustomerTransactions[[#This Row],[CustomerID]],CustomerMaster[#All],2,FALSE)</f>
        <v>Lucky Islam</v>
      </c>
      <c r="D22" s="9" t="str">
        <f>VLOOKUP(CustomerTransactions[[#This Row],[CustomerID]],CustomerMaster[#All],3,FALSE)</f>
        <v>Premium</v>
      </c>
      <c r="E22" s="10">
        <v>45374</v>
      </c>
      <c r="F22" s="11">
        <f>MONTH(CustomerTransactions[[#This Row],[TransactionDate]])</f>
        <v>3</v>
      </c>
      <c r="G22" s="9" t="s">
        <v>20</v>
      </c>
      <c r="H22" s="9" t="s">
        <v>14</v>
      </c>
      <c r="I22" s="9">
        <v>1</v>
      </c>
      <c r="J22" s="12">
        <v>350</v>
      </c>
      <c r="K22" s="12">
        <f t="shared" si="0"/>
        <v>350</v>
      </c>
      <c r="L22" s="13" t="s">
        <v>34</v>
      </c>
    </row>
    <row r="23" spans="1:12" x14ac:dyDescent="0.3">
      <c r="A23" s="8">
        <v>1022</v>
      </c>
      <c r="B23" s="9" t="s">
        <v>36</v>
      </c>
      <c r="C23" s="9" t="str">
        <f>VLOOKUP(CustomerTransactions[[#This Row],[CustomerID]],CustomerMaster[#All],2,FALSE)</f>
        <v>Karim Islam</v>
      </c>
      <c r="D23" s="9" t="str">
        <f>VLOOKUP(CustomerTransactions[[#This Row],[CustomerID]],CustomerMaster[#All],3,FALSE)</f>
        <v>Premium</v>
      </c>
      <c r="E23" s="10">
        <v>45384</v>
      </c>
      <c r="F23" s="11">
        <f>MONTH(CustomerTransactions[[#This Row],[TransactionDate]])</f>
        <v>4</v>
      </c>
      <c r="G23" s="9" t="s">
        <v>42</v>
      </c>
      <c r="H23" s="9" t="s">
        <v>18</v>
      </c>
      <c r="I23" s="9">
        <v>5</v>
      </c>
      <c r="J23" s="12">
        <v>600</v>
      </c>
      <c r="K23" s="12">
        <f t="shared" si="0"/>
        <v>3000</v>
      </c>
      <c r="L23" s="13" t="s">
        <v>11</v>
      </c>
    </row>
    <row r="24" spans="1:12" x14ac:dyDescent="0.3">
      <c r="A24" s="8">
        <v>1023</v>
      </c>
      <c r="B24" s="9" t="s">
        <v>8</v>
      </c>
      <c r="C24" s="9" t="str">
        <f>VLOOKUP(CustomerTransactions[[#This Row],[CustomerID]],CustomerMaster[#All],2,FALSE)</f>
        <v>Kamal Hossain</v>
      </c>
      <c r="D24" s="9" t="str">
        <f>VLOOKUP(CustomerTransactions[[#This Row],[CustomerID]],CustomerMaster[#All],3,FALSE)</f>
        <v>Regular</v>
      </c>
      <c r="E24" s="10">
        <v>45306</v>
      </c>
      <c r="F24" s="11">
        <f>MONTH(CustomerTransactions[[#This Row],[TransactionDate]])</f>
        <v>1</v>
      </c>
      <c r="G24" s="9" t="s">
        <v>17</v>
      </c>
      <c r="H24" s="9" t="s">
        <v>18</v>
      </c>
      <c r="I24" s="9">
        <v>10</v>
      </c>
      <c r="J24" s="12">
        <v>1200</v>
      </c>
      <c r="K24" s="12">
        <f t="shared" si="0"/>
        <v>12000</v>
      </c>
      <c r="L24" s="13" t="s">
        <v>11</v>
      </c>
    </row>
    <row r="25" spans="1:12" x14ac:dyDescent="0.3">
      <c r="A25" s="8">
        <v>1024</v>
      </c>
      <c r="B25" s="9" t="s">
        <v>28</v>
      </c>
      <c r="C25" s="9" t="str">
        <f>VLOOKUP(CustomerTransactions[[#This Row],[CustomerID]],CustomerMaster[#All],2,FALSE)</f>
        <v>Mahmud Chowdhury</v>
      </c>
      <c r="D25" s="9" t="str">
        <f>VLOOKUP(CustomerTransactions[[#This Row],[CustomerID]],CustomerMaster[#All],3,FALSE)</f>
        <v>Premium</v>
      </c>
      <c r="E25" s="10">
        <v>45313</v>
      </c>
      <c r="F25" s="11">
        <f>MONTH(CustomerTransactions[[#This Row],[TransactionDate]])</f>
        <v>1</v>
      </c>
      <c r="G25" s="9" t="s">
        <v>23</v>
      </c>
      <c r="H25" s="9" t="s">
        <v>10</v>
      </c>
      <c r="I25" s="9">
        <v>8</v>
      </c>
      <c r="J25" s="12">
        <v>20</v>
      </c>
      <c r="K25" s="12">
        <f t="shared" si="0"/>
        <v>160</v>
      </c>
      <c r="L25" s="13" t="s">
        <v>30</v>
      </c>
    </row>
    <row r="26" spans="1:12" x14ac:dyDescent="0.3">
      <c r="A26" s="8">
        <v>1025</v>
      </c>
      <c r="B26" s="9" t="s">
        <v>28</v>
      </c>
      <c r="C26" s="9" t="str">
        <f>VLOOKUP(CustomerTransactions[[#This Row],[CustomerID]],CustomerMaster[#All],2,FALSE)</f>
        <v>Mahmud Chowdhury</v>
      </c>
      <c r="D26" s="9" t="str">
        <f>VLOOKUP(CustomerTransactions[[#This Row],[CustomerID]],CustomerMaster[#All],3,FALSE)</f>
        <v>Premium</v>
      </c>
      <c r="E26" s="10">
        <v>45428</v>
      </c>
      <c r="F26" s="11">
        <f>MONTH(CustomerTransactions[[#This Row],[TransactionDate]])</f>
        <v>5</v>
      </c>
      <c r="G26" s="9" t="s">
        <v>9</v>
      </c>
      <c r="H26" s="9" t="s">
        <v>10</v>
      </c>
      <c r="I26" s="9">
        <v>3</v>
      </c>
      <c r="J26" s="12">
        <v>30</v>
      </c>
      <c r="K26" s="12">
        <f t="shared" si="0"/>
        <v>90</v>
      </c>
      <c r="L26" s="13" t="s">
        <v>30</v>
      </c>
    </row>
    <row r="27" spans="1:12" x14ac:dyDescent="0.3">
      <c r="A27" s="8">
        <v>1026</v>
      </c>
      <c r="B27" s="9" t="s">
        <v>31</v>
      </c>
      <c r="C27" s="9" t="str">
        <f>VLOOKUP(CustomerTransactions[[#This Row],[CustomerID]],CustomerMaster[#All],2,FALSE)</f>
        <v>Lucky Islam</v>
      </c>
      <c r="D27" s="9" t="str">
        <f>VLOOKUP(CustomerTransactions[[#This Row],[CustomerID]],CustomerMaster[#All],3,FALSE)</f>
        <v>Regular</v>
      </c>
      <c r="E27" s="10">
        <v>45460</v>
      </c>
      <c r="F27" s="11">
        <f>MONTH(CustomerTransactions[[#This Row],[TransactionDate]])</f>
        <v>6</v>
      </c>
      <c r="G27" s="9" t="s">
        <v>20</v>
      </c>
      <c r="H27" s="9" t="s">
        <v>14</v>
      </c>
      <c r="I27" s="9">
        <v>9</v>
      </c>
      <c r="J27" s="12">
        <v>350</v>
      </c>
      <c r="K27" s="12">
        <f t="shared" si="0"/>
        <v>3150</v>
      </c>
      <c r="L27" s="13" t="s">
        <v>15</v>
      </c>
    </row>
    <row r="28" spans="1:12" x14ac:dyDescent="0.3">
      <c r="A28" s="8">
        <v>1027</v>
      </c>
      <c r="B28" s="9" t="s">
        <v>43</v>
      </c>
      <c r="C28" s="9" t="str">
        <f>VLOOKUP(CustomerTransactions[[#This Row],[CustomerID]],CustomerMaster[#All],2,FALSE)</f>
        <v>Ayesha Khan</v>
      </c>
      <c r="D28" s="9" t="str">
        <f>VLOOKUP(CustomerTransactions[[#This Row],[CustomerID]],CustomerMaster[#All],3,FALSE)</f>
        <v>Regular</v>
      </c>
      <c r="E28" s="10">
        <v>45359</v>
      </c>
      <c r="F28" s="11">
        <f>MONTH(CustomerTransactions[[#This Row],[TransactionDate]])</f>
        <v>3</v>
      </c>
      <c r="G28" s="9" t="s">
        <v>27</v>
      </c>
      <c r="H28" s="9" t="s">
        <v>18</v>
      </c>
      <c r="I28" s="9">
        <v>10</v>
      </c>
      <c r="J28" s="12">
        <v>400</v>
      </c>
      <c r="K28" s="12">
        <f t="shared" si="0"/>
        <v>4000</v>
      </c>
      <c r="L28" s="13" t="s">
        <v>15</v>
      </c>
    </row>
    <row r="29" spans="1:12" x14ac:dyDescent="0.3">
      <c r="A29" s="8">
        <v>1028</v>
      </c>
      <c r="B29" s="9" t="s">
        <v>24</v>
      </c>
      <c r="C29" s="9" t="str">
        <f>VLOOKUP(CustomerTransactions[[#This Row],[CustomerID]],CustomerMaster[#All],2,FALSE)</f>
        <v>Karim Ahmed</v>
      </c>
      <c r="D29" s="9" t="str">
        <f>VLOOKUP(CustomerTransactions[[#This Row],[CustomerID]],CustomerMaster[#All],3,FALSE)</f>
        <v>Regular</v>
      </c>
      <c r="E29" s="10">
        <v>45346</v>
      </c>
      <c r="F29" s="11">
        <f>MONTH(CustomerTransactions[[#This Row],[TransactionDate]])</f>
        <v>2</v>
      </c>
      <c r="G29" s="9" t="s">
        <v>42</v>
      </c>
      <c r="H29" s="9" t="s">
        <v>18</v>
      </c>
      <c r="I29" s="9">
        <v>9</v>
      </c>
      <c r="J29" s="12">
        <v>600</v>
      </c>
      <c r="K29" s="12">
        <f t="shared" si="0"/>
        <v>5400</v>
      </c>
      <c r="L29" s="13" t="s">
        <v>11</v>
      </c>
    </row>
    <row r="30" spans="1:12" x14ac:dyDescent="0.3">
      <c r="A30" s="8">
        <v>1029</v>
      </c>
      <c r="B30" s="9" t="s">
        <v>40</v>
      </c>
      <c r="C30" s="9" t="str">
        <f>VLOOKUP(CustomerTransactions[[#This Row],[CustomerID]],CustomerMaster[#All],2,FALSE)</f>
        <v>Rahim Hossain</v>
      </c>
      <c r="D30" s="9" t="str">
        <f>VLOOKUP(CustomerTransactions[[#This Row],[CustomerID]],CustomerMaster[#All],3,FALSE)</f>
        <v>Regular</v>
      </c>
      <c r="E30" s="10">
        <v>45371</v>
      </c>
      <c r="F30" s="11">
        <f>MONTH(CustomerTransactions[[#This Row],[TransactionDate]])</f>
        <v>3</v>
      </c>
      <c r="G30" s="9" t="s">
        <v>25</v>
      </c>
      <c r="H30" s="9" t="s">
        <v>26</v>
      </c>
      <c r="I30" s="9">
        <v>6</v>
      </c>
      <c r="J30" s="12">
        <v>2200</v>
      </c>
      <c r="K30" s="12">
        <f t="shared" si="0"/>
        <v>13200</v>
      </c>
      <c r="L30" s="13" t="s">
        <v>19</v>
      </c>
    </row>
    <row r="31" spans="1:12" x14ac:dyDescent="0.3">
      <c r="A31" s="8">
        <v>1030</v>
      </c>
      <c r="B31" s="9" t="s">
        <v>37</v>
      </c>
      <c r="C31" s="9" t="str">
        <f>VLOOKUP(CustomerTransactions[[#This Row],[CustomerID]],CustomerMaster[#All],2,FALSE)</f>
        <v>Karim Islam</v>
      </c>
      <c r="D31" s="9" t="str">
        <f>VLOOKUP(CustomerTransactions[[#This Row],[CustomerID]],CustomerMaster[#All],3,FALSE)</f>
        <v>Regular</v>
      </c>
      <c r="E31" s="10">
        <v>45424</v>
      </c>
      <c r="F31" s="11">
        <f>MONTH(CustomerTransactions[[#This Row],[TransactionDate]])</f>
        <v>5</v>
      </c>
      <c r="G31" s="9" t="s">
        <v>20</v>
      </c>
      <c r="H31" s="9" t="s">
        <v>14</v>
      </c>
      <c r="I31" s="9">
        <v>2</v>
      </c>
      <c r="J31" s="12">
        <v>350</v>
      </c>
      <c r="K31" s="12">
        <f t="shared" si="0"/>
        <v>700</v>
      </c>
      <c r="L31" s="13" t="s">
        <v>30</v>
      </c>
    </row>
    <row r="32" spans="1:12" x14ac:dyDescent="0.3">
      <c r="A32" s="8">
        <v>1031</v>
      </c>
      <c r="B32" s="9" t="s">
        <v>8</v>
      </c>
      <c r="C32" s="9" t="str">
        <f>VLOOKUP(CustomerTransactions[[#This Row],[CustomerID]],CustomerMaster[#All],2,FALSE)</f>
        <v>Kamal Hossain</v>
      </c>
      <c r="D32" s="9" t="str">
        <f>VLOOKUP(CustomerTransactions[[#This Row],[CustomerID]],CustomerMaster[#All],3,FALSE)</f>
        <v>Regular</v>
      </c>
      <c r="E32" s="10">
        <v>45349</v>
      </c>
      <c r="F32" s="11">
        <f>MONTH(CustomerTransactions[[#This Row],[TransactionDate]])</f>
        <v>2</v>
      </c>
      <c r="G32" s="9" t="s">
        <v>13</v>
      </c>
      <c r="H32" s="9" t="s">
        <v>14</v>
      </c>
      <c r="I32" s="9">
        <v>6</v>
      </c>
      <c r="J32" s="12">
        <v>200</v>
      </c>
      <c r="K32" s="12">
        <f t="shared" si="0"/>
        <v>1200</v>
      </c>
      <c r="L32" s="13" t="s">
        <v>11</v>
      </c>
    </row>
    <row r="33" spans="1:12" x14ac:dyDescent="0.3">
      <c r="A33" s="8">
        <v>1032</v>
      </c>
      <c r="B33" s="9" t="s">
        <v>44</v>
      </c>
      <c r="C33" s="9" t="str">
        <f>VLOOKUP(CustomerTransactions[[#This Row],[CustomerID]],CustomerMaster[#All],2,FALSE)</f>
        <v>Nusrat Ahmed</v>
      </c>
      <c r="D33" s="9" t="str">
        <f>VLOOKUP(CustomerTransactions[[#This Row],[CustomerID]],CustomerMaster[#All],3,FALSE)</f>
        <v>Premium</v>
      </c>
      <c r="E33" s="10">
        <v>45442</v>
      </c>
      <c r="F33" s="11">
        <f>MONTH(CustomerTransactions[[#This Row],[TransactionDate]])</f>
        <v>5</v>
      </c>
      <c r="G33" s="9" t="s">
        <v>27</v>
      </c>
      <c r="H33" s="9" t="s">
        <v>18</v>
      </c>
      <c r="I33" s="9">
        <v>4</v>
      </c>
      <c r="J33" s="12">
        <v>400</v>
      </c>
      <c r="K33" s="12">
        <f t="shared" si="0"/>
        <v>1600</v>
      </c>
      <c r="L33" s="13" t="s">
        <v>34</v>
      </c>
    </row>
    <row r="34" spans="1:12" x14ac:dyDescent="0.3">
      <c r="A34" s="8">
        <v>1033</v>
      </c>
      <c r="B34" s="9" t="s">
        <v>16</v>
      </c>
      <c r="C34" s="9" t="str">
        <f>VLOOKUP(CustomerTransactions[[#This Row],[CustomerID]],CustomerMaster[#All],2,FALSE)</f>
        <v>Shirin Khan</v>
      </c>
      <c r="D34" s="9" t="str">
        <f>VLOOKUP(CustomerTransactions[[#This Row],[CustomerID]],CustomerMaster[#All],3,FALSE)</f>
        <v>Regular</v>
      </c>
      <c r="E34" s="10">
        <v>45348</v>
      </c>
      <c r="F34" s="11">
        <f>MONTH(CustomerTransactions[[#This Row],[TransactionDate]])</f>
        <v>2</v>
      </c>
      <c r="G34" s="9" t="s">
        <v>45</v>
      </c>
      <c r="H34" s="9" t="s">
        <v>18</v>
      </c>
      <c r="I34" s="9">
        <v>2</v>
      </c>
      <c r="J34" s="12">
        <v>500</v>
      </c>
      <c r="K34" s="12">
        <f t="shared" ref="K34:K65" si="1">I34*J34</f>
        <v>1000</v>
      </c>
      <c r="L34" s="13" t="s">
        <v>19</v>
      </c>
    </row>
    <row r="35" spans="1:12" x14ac:dyDescent="0.3">
      <c r="A35" s="8">
        <v>1034</v>
      </c>
      <c r="B35" s="9" t="s">
        <v>46</v>
      </c>
      <c r="C35" s="9" t="str">
        <f>VLOOKUP(CustomerTransactions[[#This Row],[CustomerID]],CustomerMaster[#All],2,FALSE)</f>
        <v>Ayesha Hossain</v>
      </c>
      <c r="D35" s="9" t="str">
        <f>VLOOKUP(CustomerTransactions[[#This Row],[CustomerID]],CustomerMaster[#All],3,FALSE)</f>
        <v>Premium</v>
      </c>
      <c r="E35" s="10">
        <v>45350</v>
      </c>
      <c r="F35" s="11">
        <f>MONTH(CustomerTransactions[[#This Row],[TransactionDate]])</f>
        <v>2</v>
      </c>
      <c r="G35" s="9" t="s">
        <v>13</v>
      </c>
      <c r="H35" s="9" t="s">
        <v>14</v>
      </c>
      <c r="I35" s="9">
        <v>1</v>
      </c>
      <c r="J35" s="12">
        <v>200</v>
      </c>
      <c r="K35" s="12">
        <f t="shared" si="1"/>
        <v>200</v>
      </c>
      <c r="L35" s="13" t="s">
        <v>30</v>
      </c>
    </row>
    <row r="36" spans="1:12" x14ac:dyDescent="0.3">
      <c r="A36" s="8">
        <v>1035</v>
      </c>
      <c r="B36" s="9" t="s">
        <v>47</v>
      </c>
      <c r="C36" s="9" t="str">
        <f>VLOOKUP(CustomerTransactions[[#This Row],[CustomerID]],CustomerMaster[#All],2,FALSE)</f>
        <v>Fatema Khan</v>
      </c>
      <c r="D36" s="9" t="str">
        <f>VLOOKUP(CustomerTransactions[[#This Row],[CustomerID]],CustomerMaster[#All],3,FALSE)</f>
        <v>Premium</v>
      </c>
      <c r="E36" s="10">
        <v>45310</v>
      </c>
      <c r="F36" s="11">
        <f>MONTH(CustomerTransactions[[#This Row],[TransactionDate]])</f>
        <v>1</v>
      </c>
      <c r="G36" s="9" t="s">
        <v>27</v>
      </c>
      <c r="H36" s="9" t="s">
        <v>18</v>
      </c>
      <c r="I36" s="9">
        <v>4</v>
      </c>
      <c r="J36" s="12">
        <v>400</v>
      </c>
      <c r="K36" s="12">
        <f t="shared" si="1"/>
        <v>1600</v>
      </c>
      <c r="L36" s="13" t="s">
        <v>15</v>
      </c>
    </row>
    <row r="37" spans="1:12" x14ac:dyDescent="0.3">
      <c r="A37" s="8">
        <v>1036</v>
      </c>
      <c r="B37" s="9" t="s">
        <v>21</v>
      </c>
      <c r="C37" s="9" t="str">
        <f>VLOOKUP(CustomerTransactions[[#This Row],[CustomerID]],CustomerMaster[#All],2,FALSE)</f>
        <v>Nusrat Akter</v>
      </c>
      <c r="D37" s="9" t="str">
        <f>VLOOKUP(CustomerTransactions[[#This Row],[CustomerID]],CustomerMaster[#All],3,FALSE)</f>
        <v>Premium</v>
      </c>
      <c r="E37" s="10">
        <v>45463</v>
      </c>
      <c r="F37" s="11">
        <f>MONTH(CustomerTransactions[[#This Row],[TransactionDate]])</f>
        <v>6</v>
      </c>
      <c r="G37" s="9" t="s">
        <v>20</v>
      </c>
      <c r="H37" s="9" t="s">
        <v>14</v>
      </c>
      <c r="I37" s="9">
        <v>4</v>
      </c>
      <c r="J37" s="12">
        <v>350</v>
      </c>
      <c r="K37" s="12">
        <f t="shared" si="1"/>
        <v>1400</v>
      </c>
      <c r="L37" s="13" t="s">
        <v>19</v>
      </c>
    </row>
    <row r="38" spans="1:12" x14ac:dyDescent="0.3">
      <c r="A38" s="8">
        <v>1037</v>
      </c>
      <c r="B38" s="9" t="s">
        <v>22</v>
      </c>
      <c r="C38" s="9" t="str">
        <f>VLOOKUP(CustomerTransactions[[#This Row],[CustomerID]],CustomerMaster[#All],2,FALSE)</f>
        <v>Karim Sarker</v>
      </c>
      <c r="D38" s="9" t="str">
        <f>VLOOKUP(CustomerTransactions[[#This Row],[CustomerID]],CustomerMaster[#All],3,FALSE)</f>
        <v>Premium</v>
      </c>
      <c r="E38" s="10">
        <v>45325</v>
      </c>
      <c r="F38" s="11">
        <f>MONTH(CustomerTransactions[[#This Row],[TransactionDate]])</f>
        <v>2</v>
      </c>
      <c r="G38" s="9" t="s">
        <v>23</v>
      </c>
      <c r="H38" s="9" t="s">
        <v>10</v>
      </c>
      <c r="I38" s="9">
        <v>10</v>
      </c>
      <c r="J38" s="12">
        <v>20</v>
      </c>
      <c r="K38" s="12">
        <f t="shared" si="1"/>
        <v>200</v>
      </c>
      <c r="L38" s="13" t="s">
        <v>11</v>
      </c>
    </row>
    <row r="39" spans="1:12" x14ac:dyDescent="0.3">
      <c r="A39" s="8">
        <v>1038</v>
      </c>
      <c r="B39" s="9" t="s">
        <v>16</v>
      </c>
      <c r="C39" s="9" t="str">
        <f>VLOOKUP(CustomerTransactions[[#This Row],[CustomerID]],CustomerMaster[#All],2,FALSE)</f>
        <v>Shirin Khan</v>
      </c>
      <c r="D39" s="9" t="str">
        <f>VLOOKUP(CustomerTransactions[[#This Row],[CustomerID]],CustomerMaster[#All],3,FALSE)</f>
        <v>Regular</v>
      </c>
      <c r="E39" s="10">
        <v>45413</v>
      </c>
      <c r="F39" s="11">
        <f>MONTH(CustomerTransactions[[#This Row],[TransactionDate]])</f>
        <v>5</v>
      </c>
      <c r="G39" s="9" t="s">
        <v>17</v>
      </c>
      <c r="H39" s="9" t="s">
        <v>18</v>
      </c>
      <c r="I39" s="9">
        <v>8</v>
      </c>
      <c r="J39" s="12">
        <v>1200</v>
      </c>
      <c r="K39" s="12">
        <f t="shared" si="1"/>
        <v>9600</v>
      </c>
      <c r="L39" s="13" t="s">
        <v>19</v>
      </c>
    </row>
    <row r="40" spans="1:12" x14ac:dyDescent="0.3">
      <c r="A40" s="8">
        <v>1039</v>
      </c>
      <c r="B40" s="9" t="s">
        <v>24</v>
      </c>
      <c r="C40" s="9" t="str">
        <f>VLOOKUP(CustomerTransactions[[#This Row],[CustomerID]],CustomerMaster[#All],2,FALSE)</f>
        <v>Karim Ahmed</v>
      </c>
      <c r="D40" s="9" t="str">
        <f>VLOOKUP(CustomerTransactions[[#This Row],[CustomerID]],CustomerMaster[#All],3,FALSE)</f>
        <v>Regular</v>
      </c>
      <c r="E40" s="10">
        <v>45340</v>
      </c>
      <c r="F40" s="11">
        <f>MONTH(CustomerTransactions[[#This Row],[TransactionDate]])</f>
        <v>2</v>
      </c>
      <c r="G40" s="9" t="s">
        <v>13</v>
      </c>
      <c r="H40" s="9" t="s">
        <v>14</v>
      </c>
      <c r="I40" s="9">
        <v>2</v>
      </c>
      <c r="J40" s="12">
        <v>200</v>
      </c>
      <c r="K40" s="12">
        <f t="shared" si="1"/>
        <v>400</v>
      </c>
      <c r="L40" s="13" t="s">
        <v>11</v>
      </c>
    </row>
    <row r="41" spans="1:12" x14ac:dyDescent="0.3">
      <c r="A41" s="8">
        <v>1040</v>
      </c>
      <c r="B41" s="9" t="s">
        <v>24</v>
      </c>
      <c r="C41" s="9" t="str">
        <f>VLOOKUP(CustomerTransactions[[#This Row],[CustomerID]],CustomerMaster[#All],2,FALSE)</f>
        <v>Karim Ahmed</v>
      </c>
      <c r="D41" s="9" t="str">
        <f>VLOOKUP(CustomerTransactions[[#This Row],[CustomerID]],CustomerMaster[#All],3,FALSE)</f>
        <v>Regular</v>
      </c>
      <c r="E41" s="10">
        <v>45382</v>
      </c>
      <c r="F41" s="11">
        <f>MONTH(CustomerTransactions[[#This Row],[TransactionDate]])</f>
        <v>3</v>
      </c>
      <c r="G41" s="9" t="s">
        <v>25</v>
      </c>
      <c r="H41" s="9" t="s">
        <v>26</v>
      </c>
      <c r="I41" s="9">
        <v>7</v>
      </c>
      <c r="J41" s="12">
        <v>2200</v>
      </c>
      <c r="K41" s="12">
        <f t="shared" si="1"/>
        <v>15400</v>
      </c>
      <c r="L41" s="13" t="s">
        <v>11</v>
      </c>
    </row>
    <row r="42" spans="1:12" x14ac:dyDescent="0.3">
      <c r="A42" s="8">
        <v>1041</v>
      </c>
      <c r="B42" s="9" t="s">
        <v>37</v>
      </c>
      <c r="C42" s="9" t="str">
        <f>VLOOKUP(CustomerTransactions[[#This Row],[CustomerID]],CustomerMaster[#All],2,FALSE)</f>
        <v>Karim Islam</v>
      </c>
      <c r="D42" s="9" t="str">
        <f>VLOOKUP(CustomerTransactions[[#This Row],[CustomerID]],CustomerMaster[#All],3,FALSE)</f>
        <v>Regular</v>
      </c>
      <c r="E42" s="10">
        <v>45305</v>
      </c>
      <c r="F42" s="11">
        <f>MONTH(CustomerTransactions[[#This Row],[TransactionDate]])</f>
        <v>1</v>
      </c>
      <c r="G42" s="9" t="s">
        <v>35</v>
      </c>
      <c r="H42" s="9" t="s">
        <v>18</v>
      </c>
      <c r="I42" s="9">
        <v>2</v>
      </c>
      <c r="J42" s="12">
        <v>700</v>
      </c>
      <c r="K42" s="12">
        <f t="shared" si="1"/>
        <v>1400</v>
      </c>
      <c r="L42" s="13" t="s">
        <v>30</v>
      </c>
    </row>
    <row r="43" spans="1:12" x14ac:dyDescent="0.3">
      <c r="A43" s="8">
        <v>1042</v>
      </c>
      <c r="B43" s="9" t="s">
        <v>46</v>
      </c>
      <c r="C43" s="9" t="str">
        <f>VLOOKUP(CustomerTransactions[[#This Row],[CustomerID]],CustomerMaster[#All],2,FALSE)</f>
        <v>Ayesha Hossain</v>
      </c>
      <c r="D43" s="9" t="str">
        <f>VLOOKUP(CustomerTransactions[[#This Row],[CustomerID]],CustomerMaster[#All],3,FALSE)</f>
        <v>Premium</v>
      </c>
      <c r="E43" s="10">
        <v>45395</v>
      </c>
      <c r="F43" s="11">
        <f>MONTH(CustomerTransactions[[#This Row],[TransactionDate]])</f>
        <v>4</v>
      </c>
      <c r="G43" s="9" t="s">
        <v>23</v>
      </c>
      <c r="H43" s="9" t="s">
        <v>10</v>
      </c>
      <c r="I43" s="9">
        <v>6</v>
      </c>
      <c r="J43" s="12">
        <v>20</v>
      </c>
      <c r="K43" s="12">
        <f t="shared" si="1"/>
        <v>120</v>
      </c>
      <c r="L43" s="13" t="s">
        <v>30</v>
      </c>
    </row>
    <row r="44" spans="1:12" x14ac:dyDescent="0.3">
      <c r="A44" s="8">
        <v>1043</v>
      </c>
      <c r="B44" s="9" t="s">
        <v>36</v>
      </c>
      <c r="C44" s="9" t="str">
        <f>VLOOKUP(CustomerTransactions[[#This Row],[CustomerID]],CustomerMaster[#All],2,FALSE)</f>
        <v>Karim Islam</v>
      </c>
      <c r="D44" s="9" t="str">
        <f>VLOOKUP(CustomerTransactions[[#This Row],[CustomerID]],CustomerMaster[#All],3,FALSE)</f>
        <v>Premium</v>
      </c>
      <c r="E44" s="10">
        <v>45355</v>
      </c>
      <c r="F44" s="11">
        <f>MONTH(CustomerTransactions[[#This Row],[TransactionDate]])</f>
        <v>3</v>
      </c>
      <c r="G44" s="9" t="s">
        <v>17</v>
      </c>
      <c r="H44" s="9" t="s">
        <v>18</v>
      </c>
      <c r="I44" s="9">
        <v>4</v>
      </c>
      <c r="J44" s="12">
        <v>1200</v>
      </c>
      <c r="K44" s="12">
        <f t="shared" si="1"/>
        <v>4800</v>
      </c>
      <c r="L44" s="13" t="s">
        <v>11</v>
      </c>
    </row>
    <row r="45" spans="1:12" x14ac:dyDescent="0.3">
      <c r="A45" s="8">
        <v>1044</v>
      </c>
      <c r="B45" s="9" t="s">
        <v>22</v>
      </c>
      <c r="C45" s="9" t="str">
        <f>VLOOKUP(CustomerTransactions[[#This Row],[CustomerID]],CustomerMaster[#All],2,FALSE)</f>
        <v>Karim Sarker</v>
      </c>
      <c r="D45" s="9" t="str">
        <f>VLOOKUP(CustomerTransactions[[#This Row],[CustomerID]],CustomerMaster[#All],3,FALSE)</f>
        <v>Premium</v>
      </c>
      <c r="E45" s="10">
        <v>45406</v>
      </c>
      <c r="F45" s="11">
        <f>MONTH(CustomerTransactions[[#This Row],[TransactionDate]])</f>
        <v>4</v>
      </c>
      <c r="G45" s="9" t="s">
        <v>32</v>
      </c>
      <c r="H45" s="9" t="s">
        <v>14</v>
      </c>
      <c r="I45" s="9">
        <v>7</v>
      </c>
      <c r="J45" s="12">
        <v>250</v>
      </c>
      <c r="K45" s="12">
        <f t="shared" si="1"/>
        <v>1750</v>
      </c>
      <c r="L45" s="13" t="s">
        <v>11</v>
      </c>
    </row>
    <row r="46" spans="1:12" x14ac:dyDescent="0.3">
      <c r="A46" s="8">
        <v>1045</v>
      </c>
      <c r="B46" s="9" t="s">
        <v>43</v>
      </c>
      <c r="C46" s="9" t="str">
        <f>VLOOKUP(CustomerTransactions[[#This Row],[CustomerID]],CustomerMaster[#All],2,FALSE)</f>
        <v>Ayesha Khan</v>
      </c>
      <c r="D46" s="9" t="str">
        <f>VLOOKUP(CustomerTransactions[[#This Row],[CustomerID]],CustomerMaster[#All],3,FALSE)</f>
        <v>Regular</v>
      </c>
      <c r="E46" s="10">
        <v>45363</v>
      </c>
      <c r="F46" s="11">
        <f>MONTH(CustomerTransactions[[#This Row],[TransactionDate]])</f>
        <v>3</v>
      </c>
      <c r="G46" s="9" t="s">
        <v>20</v>
      </c>
      <c r="H46" s="9" t="s">
        <v>14</v>
      </c>
      <c r="I46" s="9">
        <v>4</v>
      </c>
      <c r="J46" s="12">
        <v>350</v>
      </c>
      <c r="K46" s="12">
        <f t="shared" si="1"/>
        <v>1400</v>
      </c>
      <c r="L46" s="13" t="s">
        <v>15</v>
      </c>
    </row>
    <row r="47" spans="1:12" x14ac:dyDescent="0.3">
      <c r="A47" s="8">
        <v>1046</v>
      </c>
      <c r="B47" s="9" t="s">
        <v>28</v>
      </c>
      <c r="C47" s="9" t="str">
        <f>VLOOKUP(CustomerTransactions[[#This Row],[CustomerID]],CustomerMaster[#All],2,FALSE)</f>
        <v>Mahmud Chowdhury</v>
      </c>
      <c r="D47" s="9" t="str">
        <f>VLOOKUP(CustomerTransactions[[#This Row],[CustomerID]],CustomerMaster[#All],3,FALSE)</f>
        <v>Premium</v>
      </c>
      <c r="E47" s="10">
        <v>45405</v>
      </c>
      <c r="F47" s="11">
        <f>MONTH(CustomerTransactions[[#This Row],[TransactionDate]])</f>
        <v>4</v>
      </c>
      <c r="G47" s="9" t="s">
        <v>9</v>
      </c>
      <c r="H47" s="9" t="s">
        <v>10</v>
      </c>
      <c r="I47" s="9">
        <v>9</v>
      </c>
      <c r="J47" s="12">
        <v>30</v>
      </c>
      <c r="K47" s="12">
        <f t="shared" si="1"/>
        <v>270</v>
      </c>
      <c r="L47" s="13" t="s">
        <v>30</v>
      </c>
    </row>
    <row r="48" spans="1:12" x14ac:dyDescent="0.3">
      <c r="A48" s="8">
        <v>1047</v>
      </c>
      <c r="B48" s="9" t="s">
        <v>36</v>
      </c>
      <c r="C48" s="9" t="str">
        <f>VLOOKUP(CustomerTransactions[[#This Row],[CustomerID]],CustomerMaster[#All],2,FALSE)</f>
        <v>Karim Islam</v>
      </c>
      <c r="D48" s="9" t="str">
        <f>VLOOKUP(CustomerTransactions[[#This Row],[CustomerID]],CustomerMaster[#All],3,FALSE)</f>
        <v>Premium</v>
      </c>
      <c r="E48" s="10">
        <v>45304</v>
      </c>
      <c r="F48" s="11">
        <f>MONTH(CustomerTransactions[[#This Row],[TransactionDate]])</f>
        <v>1</v>
      </c>
      <c r="G48" s="9" t="s">
        <v>35</v>
      </c>
      <c r="H48" s="9" t="s">
        <v>18</v>
      </c>
      <c r="I48" s="9">
        <v>9</v>
      </c>
      <c r="J48" s="12">
        <v>700</v>
      </c>
      <c r="K48" s="12">
        <f t="shared" si="1"/>
        <v>6300</v>
      </c>
      <c r="L48" s="13" t="s">
        <v>11</v>
      </c>
    </row>
    <row r="49" spans="1:12" x14ac:dyDescent="0.3">
      <c r="A49" s="8">
        <v>1048</v>
      </c>
      <c r="B49" s="9" t="s">
        <v>44</v>
      </c>
      <c r="C49" s="9" t="str">
        <f>VLOOKUP(CustomerTransactions[[#This Row],[CustomerID]],CustomerMaster[#All],2,FALSE)</f>
        <v>Nusrat Ahmed</v>
      </c>
      <c r="D49" s="9" t="str">
        <f>VLOOKUP(CustomerTransactions[[#This Row],[CustomerID]],CustomerMaster[#All],3,FALSE)</f>
        <v>Premium</v>
      </c>
      <c r="E49" s="10">
        <v>45315</v>
      </c>
      <c r="F49" s="11">
        <f>MONTH(CustomerTransactions[[#This Row],[TransactionDate]])</f>
        <v>1</v>
      </c>
      <c r="G49" s="9" t="s">
        <v>42</v>
      </c>
      <c r="H49" s="9" t="s">
        <v>18</v>
      </c>
      <c r="I49" s="9">
        <v>4</v>
      </c>
      <c r="J49" s="12">
        <v>600</v>
      </c>
      <c r="K49" s="12">
        <f t="shared" si="1"/>
        <v>2400</v>
      </c>
      <c r="L49" s="13" t="s">
        <v>34</v>
      </c>
    </row>
    <row r="50" spans="1:12" x14ac:dyDescent="0.3">
      <c r="A50" s="8">
        <v>1049</v>
      </c>
      <c r="B50" s="9" t="s">
        <v>43</v>
      </c>
      <c r="C50" s="9" t="str">
        <f>VLOOKUP(CustomerTransactions[[#This Row],[CustomerID]],CustomerMaster[#All],2,FALSE)</f>
        <v>Ayesha Khan</v>
      </c>
      <c r="D50" s="9" t="str">
        <f>VLOOKUP(CustomerTransactions[[#This Row],[CustomerID]],CustomerMaster[#All],3,FALSE)</f>
        <v>Regular</v>
      </c>
      <c r="E50" s="10">
        <v>45396</v>
      </c>
      <c r="F50" s="11">
        <f>MONTH(CustomerTransactions[[#This Row],[TransactionDate]])</f>
        <v>4</v>
      </c>
      <c r="G50" s="9" t="s">
        <v>20</v>
      </c>
      <c r="H50" s="9" t="s">
        <v>14</v>
      </c>
      <c r="I50" s="9">
        <v>8</v>
      </c>
      <c r="J50" s="12">
        <v>350</v>
      </c>
      <c r="K50" s="12">
        <f t="shared" si="1"/>
        <v>2800</v>
      </c>
      <c r="L50" s="13" t="s">
        <v>15</v>
      </c>
    </row>
    <row r="51" spans="1:12" x14ac:dyDescent="0.3">
      <c r="A51" s="8">
        <v>1050</v>
      </c>
      <c r="B51" s="9" t="s">
        <v>40</v>
      </c>
      <c r="C51" s="9" t="str">
        <f>VLOOKUP(CustomerTransactions[[#This Row],[CustomerID]],CustomerMaster[#All],2,FALSE)</f>
        <v>Rahim Hossain</v>
      </c>
      <c r="D51" s="9" t="str">
        <f>VLOOKUP(CustomerTransactions[[#This Row],[CustomerID]],CustomerMaster[#All],3,FALSE)</f>
        <v>Regular</v>
      </c>
      <c r="E51" s="10">
        <v>45394</v>
      </c>
      <c r="F51" s="11">
        <f>MONTH(CustomerTransactions[[#This Row],[TransactionDate]])</f>
        <v>4</v>
      </c>
      <c r="G51" s="9" t="s">
        <v>42</v>
      </c>
      <c r="H51" s="9" t="s">
        <v>18</v>
      </c>
      <c r="I51" s="9">
        <v>1</v>
      </c>
      <c r="J51" s="12">
        <v>600</v>
      </c>
      <c r="K51" s="12">
        <f t="shared" si="1"/>
        <v>600</v>
      </c>
      <c r="L51" s="13" t="s">
        <v>19</v>
      </c>
    </row>
    <row r="52" spans="1:12" x14ac:dyDescent="0.3">
      <c r="A52" s="8">
        <v>1051</v>
      </c>
      <c r="B52" s="9" t="s">
        <v>43</v>
      </c>
      <c r="C52" s="9" t="str">
        <f>VLOOKUP(CustomerTransactions[[#This Row],[CustomerID]],CustomerMaster[#All],2,FALSE)</f>
        <v>Ayesha Khan</v>
      </c>
      <c r="D52" s="9" t="str">
        <f>VLOOKUP(CustomerTransactions[[#This Row],[CustomerID]],CustomerMaster[#All],3,FALSE)</f>
        <v>Regular</v>
      </c>
      <c r="E52" s="10">
        <v>45389</v>
      </c>
      <c r="F52" s="11">
        <f>MONTH(CustomerTransactions[[#This Row],[TransactionDate]])</f>
        <v>4</v>
      </c>
      <c r="G52" s="9" t="s">
        <v>45</v>
      </c>
      <c r="H52" s="9" t="s">
        <v>18</v>
      </c>
      <c r="I52" s="9">
        <v>7</v>
      </c>
      <c r="J52" s="12">
        <v>500</v>
      </c>
      <c r="K52" s="12">
        <f t="shared" si="1"/>
        <v>3500</v>
      </c>
      <c r="L52" s="13" t="s">
        <v>15</v>
      </c>
    </row>
    <row r="53" spans="1:12" x14ac:dyDescent="0.3">
      <c r="A53" s="8">
        <v>1052</v>
      </c>
      <c r="B53" s="9" t="s">
        <v>21</v>
      </c>
      <c r="C53" s="9" t="str">
        <f>VLOOKUP(CustomerTransactions[[#This Row],[CustomerID]],CustomerMaster[#All],2,FALSE)</f>
        <v>Nusrat Akter</v>
      </c>
      <c r="D53" s="9" t="str">
        <f>VLOOKUP(CustomerTransactions[[#This Row],[CustomerID]],CustomerMaster[#All],3,FALSE)</f>
        <v>Premium</v>
      </c>
      <c r="E53" s="10">
        <v>45408</v>
      </c>
      <c r="F53" s="11">
        <f>MONTH(CustomerTransactions[[#This Row],[TransactionDate]])</f>
        <v>4</v>
      </c>
      <c r="G53" s="9" t="s">
        <v>48</v>
      </c>
      <c r="H53" s="9" t="s">
        <v>18</v>
      </c>
      <c r="I53" s="9">
        <v>7</v>
      </c>
      <c r="J53" s="12">
        <v>900</v>
      </c>
      <c r="K53" s="12">
        <f t="shared" si="1"/>
        <v>6300</v>
      </c>
      <c r="L53" s="13" t="s">
        <v>19</v>
      </c>
    </row>
    <row r="54" spans="1:12" x14ac:dyDescent="0.3">
      <c r="A54" s="8">
        <v>1053</v>
      </c>
      <c r="B54" s="9" t="s">
        <v>22</v>
      </c>
      <c r="C54" s="9" t="str">
        <f>VLOOKUP(CustomerTransactions[[#This Row],[CustomerID]],CustomerMaster[#All],2,FALSE)</f>
        <v>Karim Sarker</v>
      </c>
      <c r="D54" s="9" t="str">
        <f>VLOOKUP(CustomerTransactions[[#This Row],[CustomerID]],CustomerMaster[#All],3,FALSE)</f>
        <v>Premium</v>
      </c>
      <c r="E54" s="10">
        <v>45461</v>
      </c>
      <c r="F54" s="11">
        <f>MONTH(CustomerTransactions[[#This Row],[TransactionDate]])</f>
        <v>6</v>
      </c>
      <c r="G54" s="9" t="s">
        <v>23</v>
      </c>
      <c r="H54" s="9" t="s">
        <v>10</v>
      </c>
      <c r="I54" s="9">
        <v>8</v>
      </c>
      <c r="J54" s="12">
        <v>20</v>
      </c>
      <c r="K54" s="12">
        <f t="shared" si="1"/>
        <v>160</v>
      </c>
      <c r="L54" s="13" t="s">
        <v>11</v>
      </c>
    </row>
    <row r="55" spans="1:12" x14ac:dyDescent="0.3">
      <c r="A55" s="8">
        <v>1054</v>
      </c>
      <c r="B55" s="9" t="s">
        <v>31</v>
      </c>
      <c r="C55" s="9" t="str">
        <f>VLOOKUP(CustomerTransactions[[#This Row],[CustomerID]],CustomerMaster[#All],2,FALSE)</f>
        <v>Lucky Islam</v>
      </c>
      <c r="D55" s="9" t="str">
        <f>VLOOKUP(CustomerTransactions[[#This Row],[CustomerID]],CustomerMaster[#All],3,FALSE)</f>
        <v>Regular</v>
      </c>
      <c r="E55" s="10">
        <v>45340</v>
      </c>
      <c r="F55" s="11">
        <f>MONTH(CustomerTransactions[[#This Row],[TransactionDate]])</f>
        <v>2</v>
      </c>
      <c r="G55" s="9" t="s">
        <v>48</v>
      </c>
      <c r="H55" s="9" t="s">
        <v>18</v>
      </c>
      <c r="I55" s="9">
        <v>4</v>
      </c>
      <c r="J55" s="12">
        <v>900</v>
      </c>
      <c r="K55" s="12">
        <f t="shared" si="1"/>
        <v>3600</v>
      </c>
      <c r="L55" s="13" t="s">
        <v>15</v>
      </c>
    </row>
    <row r="56" spans="1:12" x14ac:dyDescent="0.3">
      <c r="A56" s="8">
        <v>1055</v>
      </c>
      <c r="B56" s="9" t="s">
        <v>46</v>
      </c>
      <c r="C56" s="9" t="str">
        <f>VLOOKUP(CustomerTransactions[[#This Row],[CustomerID]],CustomerMaster[#All],2,FALSE)</f>
        <v>Ayesha Hossain</v>
      </c>
      <c r="D56" s="9" t="str">
        <f>VLOOKUP(CustomerTransactions[[#This Row],[CustomerID]],CustomerMaster[#All],3,FALSE)</f>
        <v>Premium</v>
      </c>
      <c r="E56" s="10">
        <v>45440</v>
      </c>
      <c r="F56" s="11">
        <f>MONTH(CustomerTransactions[[#This Row],[TransactionDate]])</f>
        <v>5</v>
      </c>
      <c r="G56" s="9" t="s">
        <v>23</v>
      </c>
      <c r="H56" s="9" t="s">
        <v>10</v>
      </c>
      <c r="I56" s="9">
        <v>9</v>
      </c>
      <c r="J56" s="12">
        <v>20</v>
      </c>
      <c r="K56" s="12">
        <f t="shared" si="1"/>
        <v>180</v>
      </c>
      <c r="L56" s="13" t="s">
        <v>30</v>
      </c>
    </row>
    <row r="57" spans="1:12" x14ac:dyDescent="0.3">
      <c r="A57" s="8">
        <v>1056</v>
      </c>
      <c r="B57" s="9" t="s">
        <v>46</v>
      </c>
      <c r="C57" s="9" t="str">
        <f>VLOOKUP(CustomerTransactions[[#This Row],[CustomerID]],CustomerMaster[#All],2,FALSE)</f>
        <v>Ayesha Hossain</v>
      </c>
      <c r="D57" s="9" t="str">
        <f>VLOOKUP(CustomerTransactions[[#This Row],[CustomerID]],CustomerMaster[#All],3,FALSE)</f>
        <v>Premium</v>
      </c>
      <c r="E57" s="10">
        <v>45372</v>
      </c>
      <c r="F57" s="11">
        <f>MONTH(CustomerTransactions[[#This Row],[TransactionDate]])</f>
        <v>3</v>
      </c>
      <c r="G57" s="9" t="s">
        <v>45</v>
      </c>
      <c r="H57" s="9" t="s">
        <v>18</v>
      </c>
      <c r="I57" s="9">
        <v>1</v>
      </c>
      <c r="J57" s="12">
        <v>500</v>
      </c>
      <c r="K57" s="12">
        <f t="shared" si="1"/>
        <v>500</v>
      </c>
      <c r="L57" s="13" t="s">
        <v>30</v>
      </c>
    </row>
    <row r="58" spans="1:12" x14ac:dyDescent="0.3">
      <c r="A58" s="8">
        <v>1057</v>
      </c>
      <c r="B58" s="9" t="s">
        <v>16</v>
      </c>
      <c r="C58" s="9" t="str">
        <f>VLOOKUP(CustomerTransactions[[#This Row],[CustomerID]],CustomerMaster[#All],2,FALSE)</f>
        <v>Shirin Khan</v>
      </c>
      <c r="D58" s="9" t="str">
        <f>VLOOKUP(CustomerTransactions[[#This Row],[CustomerID]],CustomerMaster[#All],3,FALSE)</f>
        <v>Regular</v>
      </c>
      <c r="E58" s="10">
        <v>45414</v>
      </c>
      <c r="F58" s="11">
        <f>MONTH(CustomerTransactions[[#This Row],[TransactionDate]])</f>
        <v>5</v>
      </c>
      <c r="G58" s="9" t="s">
        <v>27</v>
      </c>
      <c r="H58" s="9" t="s">
        <v>18</v>
      </c>
      <c r="I58" s="9">
        <v>9</v>
      </c>
      <c r="J58" s="12">
        <v>400</v>
      </c>
      <c r="K58" s="12">
        <f t="shared" si="1"/>
        <v>3600</v>
      </c>
      <c r="L58" s="13" t="s">
        <v>19</v>
      </c>
    </row>
    <row r="59" spans="1:12" x14ac:dyDescent="0.3">
      <c r="A59" s="8">
        <v>1058</v>
      </c>
      <c r="B59" s="9" t="s">
        <v>43</v>
      </c>
      <c r="C59" s="9" t="str">
        <f>VLOOKUP(CustomerTransactions[[#This Row],[CustomerID]],CustomerMaster[#All],2,FALSE)</f>
        <v>Ayesha Khan</v>
      </c>
      <c r="D59" s="9" t="str">
        <f>VLOOKUP(CustomerTransactions[[#This Row],[CustomerID]],CustomerMaster[#All],3,FALSE)</f>
        <v>Regular</v>
      </c>
      <c r="E59" s="10">
        <v>45306</v>
      </c>
      <c r="F59" s="11">
        <f>MONTH(CustomerTransactions[[#This Row],[TransactionDate]])</f>
        <v>1</v>
      </c>
      <c r="G59" s="9" t="s">
        <v>27</v>
      </c>
      <c r="H59" s="9" t="s">
        <v>18</v>
      </c>
      <c r="I59" s="9">
        <v>2</v>
      </c>
      <c r="J59" s="12">
        <v>400</v>
      </c>
      <c r="K59" s="12">
        <f t="shared" si="1"/>
        <v>800</v>
      </c>
      <c r="L59" s="13" t="s">
        <v>15</v>
      </c>
    </row>
    <row r="60" spans="1:12" x14ac:dyDescent="0.3">
      <c r="A60" s="8">
        <v>1059</v>
      </c>
      <c r="B60" s="9" t="s">
        <v>43</v>
      </c>
      <c r="C60" s="9" t="str">
        <f>VLOOKUP(CustomerTransactions[[#This Row],[CustomerID]],CustomerMaster[#All],2,FALSE)</f>
        <v>Ayesha Khan</v>
      </c>
      <c r="D60" s="9" t="str">
        <f>VLOOKUP(CustomerTransactions[[#This Row],[CustomerID]],CustomerMaster[#All],3,FALSE)</f>
        <v>Regular</v>
      </c>
      <c r="E60" s="10">
        <v>45309</v>
      </c>
      <c r="F60" s="11">
        <f>MONTH(CustomerTransactions[[#This Row],[TransactionDate]])</f>
        <v>1</v>
      </c>
      <c r="G60" s="9" t="s">
        <v>49</v>
      </c>
      <c r="H60" s="9" t="s">
        <v>14</v>
      </c>
      <c r="I60" s="9">
        <v>2</v>
      </c>
      <c r="J60" s="12">
        <v>50</v>
      </c>
      <c r="K60" s="12">
        <f t="shared" si="1"/>
        <v>100</v>
      </c>
      <c r="L60" s="13" t="s">
        <v>15</v>
      </c>
    </row>
    <row r="61" spans="1:12" x14ac:dyDescent="0.3">
      <c r="A61" s="8">
        <v>1060</v>
      </c>
      <c r="B61" s="9" t="s">
        <v>8</v>
      </c>
      <c r="C61" s="9" t="str">
        <f>VLOOKUP(CustomerTransactions[[#This Row],[CustomerID]],CustomerMaster[#All],2,FALSE)</f>
        <v>Kamal Hossain</v>
      </c>
      <c r="D61" s="9" t="str">
        <f>VLOOKUP(CustomerTransactions[[#This Row],[CustomerID]],CustomerMaster[#All],3,FALSE)</f>
        <v>Regular</v>
      </c>
      <c r="E61" s="10">
        <v>45395</v>
      </c>
      <c r="F61" s="11">
        <f>MONTH(CustomerTransactions[[#This Row],[TransactionDate]])</f>
        <v>4</v>
      </c>
      <c r="G61" s="9" t="s">
        <v>13</v>
      </c>
      <c r="H61" s="9" t="s">
        <v>14</v>
      </c>
      <c r="I61" s="9">
        <v>10</v>
      </c>
      <c r="J61" s="12">
        <v>200</v>
      </c>
      <c r="K61" s="12">
        <f t="shared" si="1"/>
        <v>2000</v>
      </c>
      <c r="L61" s="13" t="s">
        <v>11</v>
      </c>
    </row>
    <row r="62" spans="1:12" x14ac:dyDescent="0.3">
      <c r="A62" s="8">
        <v>1061</v>
      </c>
      <c r="B62" s="9" t="s">
        <v>8</v>
      </c>
      <c r="C62" s="9" t="str">
        <f>VLOOKUP(CustomerTransactions[[#This Row],[CustomerID]],CustomerMaster[#All],2,FALSE)</f>
        <v>Kamal Hossain</v>
      </c>
      <c r="D62" s="9" t="str">
        <f>VLOOKUP(CustomerTransactions[[#This Row],[CustomerID]],CustomerMaster[#All],3,FALSE)</f>
        <v>Regular</v>
      </c>
      <c r="E62" s="10">
        <v>45440</v>
      </c>
      <c r="F62" s="11">
        <f>MONTH(CustomerTransactions[[#This Row],[TransactionDate]])</f>
        <v>5</v>
      </c>
      <c r="G62" s="9" t="s">
        <v>49</v>
      </c>
      <c r="H62" s="9" t="s">
        <v>14</v>
      </c>
      <c r="I62" s="9">
        <v>1</v>
      </c>
      <c r="J62" s="12">
        <v>50</v>
      </c>
      <c r="K62" s="12">
        <f t="shared" si="1"/>
        <v>50</v>
      </c>
      <c r="L62" s="13" t="s">
        <v>11</v>
      </c>
    </row>
    <row r="63" spans="1:12" x14ac:dyDescent="0.3">
      <c r="A63" s="8">
        <v>1062</v>
      </c>
      <c r="B63" s="9" t="s">
        <v>33</v>
      </c>
      <c r="C63" s="9" t="str">
        <f>VLOOKUP(CustomerTransactions[[#This Row],[CustomerID]],CustomerMaster[#All],2,FALSE)</f>
        <v>Lucky Islam</v>
      </c>
      <c r="D63" s="9" t="str">
        <f>VLOOKUP(CustomerTransactions[[#This Row],[CustomerID]],CustomerMaster[#All],3,FALSE)</f>
        <v>Premium</v>
      </c>
      <c r="E63" s="10">
        <v>45312</v>
      </c>
      <c r="F63" s="11">
        <f>MONTH(CustomerTransactions[[#This Row],[TransactionDate]])</f>
        <v>1</v>
      </c>
      <c r="G63" s="9" t="s">
        <v>25</v>
      </c>
      <c r="H63" s="9" t="s">
        <v>26</v>
      </c>
      <c r="I63" s="9">
        <v>10</v>
      </c>
      <c r="J63" s="12">
        <v>2200</v>
      </c>
      <c r="K63" s="12">
        <f t="shared" si="1"/>
        <v>22000</v>
      </c>
      <c r="L63" s="13" t="s">
        <v>34</v>
      </c>
    </row>
    <row r="64" spans="1:12" x14ac:dyDescent="0.3">
      <c r="A64" s="8">
        <v>1063</v>
      </c>
      <c r="B64" s="9" t="s">
        <v>16</v>
      </c>
      <c r="C64" s="9" t="str">
        <f>VLOOKUP(CustomerTransactions[[#This Row],[CustomerID]],CustomerMaster[#All],2,FALSE)</f>
        <v>Shirin Khan</v>
      </c>
      <c r="D64" s="9" t="str">
        <f>VLOOKUP(CustomerTransactions[[#This Row],[CustomerID]],CustomerMaster[#All],3,FALSE)</f>
        <v>Regular</v>
      </c>
      <c r="E64" s="10">
        <v>45425</v>
      </c>
      <c r="F64" s="11">
        <f>MONTH(CustomerTransactions[[#This Row],[TransactionDate]])</f>
        <v>5</v>
      </c>
      <c r="G64" s="9" t="s">
        <v>41</v>
      </c>
      <c r="H64" s="9" t="s">
        <v>26</v>
      </c>
      <c r="I64" s="9">
        <v>5</v>
      </c>
      <c r="J64" s="12">
        <v>1500</v>
      </c>
      <c r="K64" s="12">
        <f t="shared" si="1"/>
        <v>7500</v>
      </c>
      <c r="L64" s="13" t="s">
        <v>19</v>
      </c>
    </row>
    <row r="65" spans="1:12" x14ac:dyDescent="0.3">
      <c r="A65" s="8">
        <v>1064</v>
      </c>
      <c r="B65" s="9" t="s">
        <v>40</v>
      </c>
      <c r="C65" s="9" t="str">
        <f>VLOOKUP(CustomerTransactions[[#This Row],[CustomerID]],CustomerMaster[#All],2,FALSE)</f>
        <v>Rahim Hossain</v>
      </c>
      <c r="D65" s="9" t="str">
        <f>VLOOKUP(CustomerTransactions[[#This Row],[CustomerID]],CustomerMaster[#All],3,FALSE)</f>
        <v>Regular</v>
      </c>
      <c r="E65" s="10">
        <v>45463</v>
      </c>
      <c r="F65" s="11">
        <f>MONTH(CustomerTransactions[[#This Row],[TransactionDate]])</f>
        <v>6</v>
      </c>
      <c r="G65" s="9" t="s">
        <v>23</v>
      </c>
      <c r="H65" s="9" t="s">
        <v>10</v>
      </c>
      <c r="I65" s="9">
        <v>6</v>
      </c>
      <c r="J65" s="12">
        <v>20</v>
      </c>
      <c r="K65" s="12">
        <f t="shared" si="1"/>
        <v>120</v>
      </c>
      <c r="L65" s="13" t="s">
        <v>19</v>
      </c>
    </row>
    <row r="66" spans="1:12" x14ac:dyDescent="0.3">
      <c r="A66" s="8">
        <v>1065</v>
      </c>
      <c r="B66" s="9" t="s">
        <v>8</v>
      </c>
      <c r="C66" s="9" t="str">
        <f>VLOOKUP(CustomerTransactions[[#This Row],[CustomerID]],CustomerMaster[#All],2,FALSE)</f>
        <v>Kamal Hossain</v>
      </c>
      <c r="D66" s="9" t="str">
        <f>VLOOKUP(CustomerTransactions[[#This Row],[CustomerID]],CustomerMaster[#All],3,FALSE)</f>
        <v>Regular</v>
      </c>
      <c r="E66" s="10">
        <v>45359</v>
      </c>
      <c r="F66" s="11">
        <f>MONTH(CustomerTransactions[[#This Row],[TransactionDate]])</f>
        <v>3</v>
      </c>
      <c r="G66" s="9" t="s">
        <v>25</v>
      </c>
      <c r="H66" s="9" t="s">
        <v>26</v>
      </c>
      <c r="I66" s="9">
        <v>3</v>
      </c>
      <c r="J66" s="12">
        <v>2200</v>
      </c>
      <c r="K66" s="12">
        <f t="shared" ref="K66:K97" si="2">I66*J66</f>
        <v>6600</v>
      </c>
      <c r="L66" s="13" t="s">
        <v>11</v>
      </c>
    </row>
    <row r="67" spans="1:12" x14ac:dyDescent="0.3">
      <c r="A67" s="8">
        <v>1066</v>
      </c>
      <c r="B67" s="9" t="s">
        <v>39</v>
      </c>
      <c r="C67" s="9" t="str">
        <f>VLOOKUP(CustomerTransactions[[#This Row],[CustomerID]],CustomerMaster[#All],2,FALSE)</f>
        <v>Nasrin Begum</v>
      </c>
      <c r="D67" s="9" t="str">
        <f>VLOOKUP(CustomerTransactions[[#This Row],[CustomerID]],CustomerMaster[#All],3,FALSE)</f>
        <v>Regular</v>
      </c>
      <c r="E67" s="10">
        <v>45409</v>
      </c>
      <c r="F67" s="11">
        <f>MONTH(CustomerTransactions[[#This Row],[TransactionDate]])</f>
        <v>4</v>
      </c>
      <c r="G67" s="9" t="s">
        <v>41</v>
      </c>
      <c r="H67" s="9" t="s">
        <v>26</v>
      </c>
      <c r="I67" s="9">
        <v>2</v>
      </c>
      <c r="J67" s="12">
        <v>1500</v>
      </c>
      <c r="K67" s="12">
        <f t="shared" si="2"/>
        <v>3000</v>
      </c>
      <c r="L67" s="13" t="s">
        <v>15</v>
      </c>
    </row>
    <row r="68" spans="1:12" x14ac:dyDescent="0.3">
      <c r="A68" s="8">
        <v>1067</v>
      </c>
      <c r="B68" s="9" t="s">
        <v>44</v>
      </c>
      <c r="C68" s="9" t="str">
        <f>VLOOKUP(CustomerTransactions[[#This Row],[CustomerID]],CustomerMaster[#All],2,FALSE)</f>
        <v>Nusrat Ahmed</v>
      </c>
      <c r="D68" s="9" t="str">
        <f>VLOOKUP(CustomerTransactions[[#This Row],[CustomerID]],CustomerMaster[#All],3,FALSE)</f>
        <v>Premium</v>
      </c>
      <c r="E68" s="10">
        <v>45409</v>
      </c>
      <c r="F68" s="11">
        <f>MONTH(CustomerTransactions[[#This Row],[TransactionDate]])</f>
        <v>4</v>
      </c>
      <c r="G68" s="9" t="s">
        <v>49</v>
      </c>
      <c r="H68" s="9" t="s">
        <v>14</v>
      </c>
      <c r="I68" s="9">
        <v>10</v>
      </c>
      <c r="J68" s="12">
        <v>50</v>
      </c>
      <c r="K68" s="12">
        <f t="shared" si="2"/>
        <v>500</v>
      </c>
      <c r="L68" s="13" t="s">
        <v>34</v>
      </c>
    </row>
    <row r="69" spans="1:12" x14ac:dyDescent="0.3">
      <c r="A69" s="8">
        <v>1068</v>
      </c>
      <c r="B69" s="9" t="s">
        <v>36</v>
      </c>
      <c r="C69" s="9" t="str">
        <f>VLOOKUP(CustomerTransactions[[#This Row],[CustomerID]],CustomerMaster[#All],2,FALSE)</f>
        <v>Karim Islam</v>
      </c>
      <c r="D69" s="9" t="str">
        <f>VLOOKUP(CustomerTransactions[[#This Row],[CustomerID]],CustomerMaster[#All],3,FALSE)</f>
        <v>Premium</v>
      </c>
      <c r="E69" s="10">
        <v>45310</v>
      </c>
      <c r="F69" s="11">
        <f>MONTH(CustomerTransactions[[#This Row],[TransactionDate]])</f>
        <v>1</v>
      </c>
      <c r="G69" s="9" t="s">
        <v>27</v>
      </c>
      <c r="H69" s="9" t="s">
        <v>18</v>
      </c>
      <c r="I69" s="9">
        <v>4</v>
      </c>
      <c r="J69" s="12">
        <v>400</v>
      </c>
      <c r="K69" s="12">
        <f t="shared" si="2"/>
        <v>1600</v>
      </c>
      <c r="L69" s="13" t="s">
        <v>11</v>
      </c>
    </row>
    <row r="70" spans="1:12" x14ac:dyDescent="0.3">
      <c r="A70" s="8">
        <v>1069</v>
      </c>
      <c r="B70" s="9" t="s">
        <v>38</v>
      </c>
      <c r="C70" s="9" t="str">
        <f>VLOOKUP(CustomerTransactions[[#This Row],[CustomerID]],CustomerMaster[#All],2,FALSE)</f>
        <v>Nasrin Begum</v>
      </c>
      <c r="D70" s="9" t="str">
        <f>VLOOKUP(CustomerTransactions[[#This Row],[CustomerID]],CustomerMaster[#All],3,FALSE)</f>
        <v>Regular</v>
      </c>
      <c r="E70" s="10">
        <v>45359</v>
      </c>
      <c r="F70" s="11">
        <f>MONTH(CustomerTransactions[[#This Row],[TransactionDate]])</f>
        <v>3</v>
      </c>
      <c r="G70" s="9" t="s">
        <v>32</v>
      </c>
      <c r="H70" s="9" t="s">
        <v>14</v>
      </c>
      <c r="I70" s="9">
        <v>6</v>
      </c>
      <c r="J70" s="12">
        <v>250</v>
      </c>
      <c r="K70" s="12">
        <f t="shared" si="2"/>
        <v>1500</v>
      </c>
      <c r="L70" s="13" t="s">
        <v>11</v>
      </c>
    </row>
    <row r="71" spans="1:12" x14ac:dyDescent="0.3">
      <c r="A71" s="8">
        <v>1070</v>
      </c>
      <c r="B71" s="9" t="s">
        <v>28</v>
      </c>
      <c r="C71" s="9" t="str">
        <f>VLOOKUP(CustomerTransactions[[#This Row],[CustomerID]],CustomerMaster[#All],2,FALSE)</f>
        <v>Mahmud Chowdhury</v>
      </c>
      <c r="D71" s="9" t="str">
        <f>VLOOKUP(CustomerTransactions[[#This Row],[CustomerID]],CustomerMaster[#All],3,FALSE)</f>
        <v>Premium</v>
      </c>
      <c r="E71" s="10">
        <v>45354</v>
      </c>
      <c r="F71" s="11">
        <f>MONTH(CustomerTransactions[[#This Row],[TransactionDate]])</f>
        <v>3</v>
      </c>
      <c r="G71" s="9" t="s">
        <v>41</v>
      </c>
      <c r="H71" s="9" t="s">
        <v>26</v>
      </c>
      <c r="I71" s="9">
        <v>5</v>
      </c>
      <c r="J71" s="12">
        <v>1500</v>
      </c>
      <c r="K71" s="12">
        <f t="shared" si="2"/>
        <v>7500</v>
      </c>
      <c r="L71" s="13" t="s">
        <v>30</v>
      </c>
    </row>
    <row r="72" spans="1:12" x14ac:dyDescent="0.3">
      <c r="A72" s="8">
        <v>1071</v>
      </c>
      <c r="B72" s="9" t="s">
        <v>43</v>
      </c>
      <c r="C72" s="9" t="str">
        <f>VLOOKUP(CustomerTransactions[[#This Row],[CustomerID]],CustomerMaster[#All],2,FALSE)</f>
        <v>Ayesha Khan</v>
      </c>
      <c r="D72" s="9" t="str">
        <f>VLOOKUP(CustomerTransactions[[#This Row],[CustomerID]],CustomerMaster[#All],3,FALSE)</f>
        <v>Regular</v>
      </c>
      <c r="E72" s="10">
        <v>45404</v>
      </c>
      <c r="F72" s="11">
        <f>MONTH(CustomerTransactions[[#This Row],[TransactionDate]])</f>
        <v>4</v>
      </c>
      <c r="G72" s="9" t="s">
        <v>29</v>
      </c>
      <c r="H72" s="9" t="s">
        <v>26</v>
      </c>
      <c r="I72" s="9">
        <v>9</v>
      </c>
      <c r="J72" s="12">
        <v>300</v>
      </c>
      <c r="K72" s="12">
        <f t="shared" si="2"/>
        <v>2700</v>
      </c>
      <c r="L72" s="13" t="s">
        <v>15</v>
      </c>
    </row>
    <row r="73" spans="1:12" x14ac:dyDescent="0.3">
      <c r="A73" s="8">
        <v>1072</v>
      </c>
      <c r="B73" s="9" t="s">
        <v>39</v>
      </c>
      <c r="C73" s="9" t="str">
        <f>VLOOKUP(CustomerTransactions[[#This Row],[CustomerID]],CustomerMaster[#All],2,FALSE)</f>
        <v>Nasrin Begum</v>
      </c>
      <c r="D73" s="9" t="str">
        <f>VLOOKUP(CustomerTransactions[[#This Row],[CustomerID]],CustomerMaster[#All],3,FALSE)</f>
        <v>Regular</v>
      </c>
      <c r="E73" s="10">
        <v>45448</v>
      </c>
      <c r="F73" s="11">
        <f>MONTH(CustomerTransactions[[#This Row],[TransactionDate]])</f>
        <v>6</v>
      </c>
      <c r="G73" s="9" t="s">
        <v>9</v>
      </c>
      <c r="H73" s="24" t="s">
        <v>10</v>
      </c>
      <c r="I73" s="9">
        <v>9</v>
      </c>
      <c r="J73" s="12">
        <v>30</v>
      </c>
      <c r="K73" s="12">
        <f t="shared" si="2"/>
        <v>270</v>
      </c>
      <c r="L73" s="13" t="s">
        <v>15</v>
      </c>
    </row>
    <row r="74" spans="1:12" x14ac:dyDescent="0.3">
      <c r="A74" s="8">
        <v>1073</v>
      </c>
      <c r="B74" s="9" t="s">
        <v>44</v>
      </c>
      <c r="C74" s="9" t="str">
        <f>VLOOKUP(CustomerTransactions[[#This Row],[CustomerID]],CustomerMaster[#All],2,FALSE)</f>
        <v>Nusrat Ahmed</v>
      </c>
      <c r="D74" s="9" t="str">
        <f>VLOOKUP(CustomerTransactions[[#This Row],[CustomerID]],CustomerMaster[#All],3,FALSE)</f>
        <v>Premium</v>
      </c>
      <c r="E74" s="10">
        <v>45462</v>
      </c>
      <c r="F74" s="11">
        <f>MONTH(CustomerTransactions[[#This Row],[TransactionDate]])</f>
        <v>6</v>
      </c>
      <c r="G74" s="9" t="s">
        <v>29</v>
      </c>
      <c r="H74" s="9" t="s">
        <v>26</v>
      </c>
      <c r="I74" s="9">
        <v>9</v>
      </c>
      <c r="J74" s="12">
        <v>300</v>
      </c>
      <c r="K74" s="12">
        <f t="shared" si="2"/>
        <v>2700</v>
      </c>
      <c r="L74" s="13" t="s">
        <v>34</v>
      </c>
    </row>
    <row r="75" spans="1:12" x14ac:dyDescent="0.3">
      <c r="A75" s="8">
        <v>1074</v>
      </c>
      <c r="B75" s="9" t="s">
        <v>39</v>
      </c>
      <c r="C75" s="9" t="str">
        <f>VLOOKUP(CustomerTransactions[[#This Row],[CustomerID]],CustomerMaster[#All],2,FALSE)</f>
        <v>Nasrin Begum</v>
      </c>
      <c r="D75" s="9" t="str">
        <f>VLOOKUP(CustomerTransactions[[#This Row],[CustomerID]],CustomerMaster[#All],3,FALSE)</f>
        <v>Regular</v>
      </c>
      <c r="E75" s="10">
        <v>45461</v>
      </c>
      <c r="F75" s="11">
        <f>MONTH(CustomerTransactions[[#This Row],[TransactionDate]])</f>
        <v>6</v>
      </c>
      <c r="G75" s="9" t="s">
        <v>13</v>
      </c>
      <c r="H75" s="9" t="s">
        <v>14</v>
      </c>
      <c r="I75" s="9">
        <v>3</v>
      </c>
      <c r="J75" s="12">
        <v>200</v>
      </c>
      <c r="K75" s="12">
        <f t="shared" si="2"/>
        <v>600</v>
      </c>
      <c r="L75" s="13" t="s">
        <v>15</v>
      </c>
    </row>
    <row r="76" spans="1:12" x14ac:dyDescent="0.3">
      <c r="A76" s="8">
        <v>1075</v>
      </c>
      <c r="B76" s="9" t="s">
        <v>21</v>
      </c>
      <c r="C76" s="9" t="str">
        <f>VLOOKUP(CustomerTransactions[[#This Row],[CustomerID]],CustomerMaster[#All],2,FALSE)</f>
        <v>Nusrat Akter</v>
      </c>
      <c r="D76" s="9" t="str">
        <f>VLOOKUP(CustomerTransactions[[#This Row],[CustomerID]],CustomerMaster[#All],3,FALSE)</f>
        <v>Premium</v>
      </c>
      <c r="E76" s="10">
        <v>45321</v>
      </c>
      <c r="F76" s="11">
        <f>MONTH(CustomerTransactions[[#This Row],[TransactionDate]])</f>
        <v>1</v>
      </c>
      <c r="G76" s="9" t="s">
        <v>42</v>
      </c>
      <c r="H76" s="9" t="s">
        <v>18</v>
      </c>
      <c r="I76" s="9">
        <v>2</v>
      </c>
      <c r="J76" s="12">
        <v>600</v>
      </c>
      <c r="K76" s="12">
        <f t="shared" si="2"/>
        <v>1200</v>
      </c>
      <c r="L76" s="13" t="s">
        <v>19</v>
      </c>
    </row>
    <row r="77" spans="1:12" x14ac:dyDescent="0.3">
      <c r="A77" s="8">
        <v>1076</v>
      </c>
      <c r="B77" s="9" t="s">
        <v>22</v>
      </c>
      <c r="C77" s="9" t="str">
        <f>VLOOKUP(CustomerTransactions[[#This Row],[CustomerID]],CustomerMaster[#All],2,FALSE)</f>
        <v>Karim Sarker</v>
      </c>
      <c r="D77" s="9" t="str">
        <f>VLOOKUP(CustomerTransactions[[#This Row],[CustomerID]],CustomerMaster[#All],3,FALSE)</f>
        <v>Premium</v>
      </c>
      <c r="E77" s="10">
        <v>45331</v>
      </c>
      <c r="F77" s="11">
        <f>MONTH(CustomerTransactions[[#This Row],[TransactionDate]])</f>
        <v>2</v>
      </c>
      <c r="G77" s="9" t="s">
        <v>48</v>
      </c>
      <c r="H77" s="9" t="s">
        <v>18</v>
      </c>
      <c r="I77" s="9">
        <v>5</v>
      </c>
      <c r="J77" s="12">
        <v>900</v>
      </c>
      <c r="K77" s="12">
        <f t="shared" si="2"/>
        <v>4500</v>
      </c>
      <c r="L77" s="13" t="s">
        <v>11</v>
      </c>
    </row>
    <row r="78" spans="1:12" x14ac:dyDescent="0.3">
      <c r="A78" s="8">
        <v>1077</v>
      </c>
      <c r="B78" s="9" t="s">
        <v>33</v>
      </c>
      <c r="C78" s="9" t="str">
        <f>VLOOKUP(CustomerTransactions[[#This Row],[CustomerID]],CustomerMaster[#All],2,FALSE)</f>
        <v>Lucky Islam</v>
      </c>
      <c r="D78" s="9" t="str">
        <f>VLOOKUP(CustomerTransactions[[#This Row],[CustomerID]],CustomerMaster[#All],3,FALSE)</f>
        <v>Premium</v>
      </c>
      <c r="E78" s="10">
        <v>45345</v>
      </c>
      <c r="F78" s="11">
        <f>MONTH(CustomerTransactions[[#This Row],[TransactionDate]])</f>
        <v>2</v>
      </c>
      <c r="G78" s="9" t="s">
        <v>23</v>
      </c>
      <c r="H78" s="9" t="s">
        <v>10</v>
      </c>
      <c r="I78" s="9">
        <v>6</v>
      </c>
      <c r="J78" s="12">
        <v>20</v>
      </c>
      <c r="K78" s="12">
        <f t="shared" si="2"/>
        <v>120</v>
      </c>
      <c r="L78" s="13" t="s">
        <v>34</v>
      </c>
    </row>
    <row r="79" spans="1:12" x14ac:dyDescent="0.3">
      <c r="A79" s="8">
        <v>1078</v>
      </c>
      <c r="B79" s="9" t="s">
        <v>40</v>
      </c>
      <c r="C79" s="9" t="str">
        <f>VLOOKUP(CustomerTransactions[[#This Row],[CustomerID]],CustomerMaster[#All],2,FALSE)</f>
        <v>Rahim Hossain</v>
      </c>
      <c r="D79" s="9" t="str">
        <f>VLOOKUP(CustomerTransactions[[#This Row],[CustomerID]],CustomerMaster[#All],3,FALSE)</f>
        <v>Regular</v>
      </c>
      <c r="E79" s="10">
        <v>45467</v>
      </c>
      <c r="F79" s="11">
        <f>MONTH(CustomerTransactions[[#This Row],[TransactionDate]])</f>
        <v>6</v>
      </c>
      <c r="G79" s="9" t="s">
        <v>35</v>
      </c>
      <c r="H79" s="9" t="s">
        <v>18</v>
      </c>
      <c r="I79" s="9">
        <v>5</v>
      </c>
      <c r="J79" s="12">
        <v>700</v>
      </c>
      <c r="K79" s="12">
        <f t="shared" si="2"/>
        <v>3500</v>
      </c>
      <c r="L79" s="13" t="s">
        <v>19</v>
      </c>
    </row>
    <row r="80" spans="1:12" x14ac:dyDescent="0.3">
      <c r="A80" s="8">
        <v>1079</v>
      </c>
      <c r="B80" s="9" t="s">
        <v>38</v>
      </c>
      <c r="C80" s="9" t="str">
        <f>VLOOKUP(CustomerTransactions[[#This Row],[CustomerID]],CustomerMaster[#All],2,FALSE)</f>
        <v>Nasrin Begum</v>
      </c>
      <c r="D80" s="9" t="str">
        <f>VLOOKUP(CustomerTransactions[[#This Row],[CustomerID]],CustomerMaster[#All],3,FALSE)</f>
        <v>Regular</v>
      </c>
      <c r="E80" s="10">
        <v>45417</v>
      </c>
      <c r="F80" s="11">
        <f>MONTH(CustomerTransactions[[#This Row],[TransactionDate]])</f>
        <v>5</v>
      </c>
      <c r="G80" s="9" t="s">
        <v>48</v>
      </c>
      <c r="H80" s="9" t="s">
        <v>18</v>
      </c>
      <c r="I80" s="9">
        <v>1</v>
      </c>
      <c r="J80" s="12">
        <v>900</v>
      </c>
      <c r="K80" s="12">
        <f t="shared" si="2"/>
        <v>900</v>
      </c>
      <c r="L80" s="13" t="s">
        <v>11</v>
      </c>
    </row>
    <row r="81" spans="1:12" x14ac:dyDescent="0.3">
      <c r="A81" s="8">
        <v>1080</v>
      </c>
      <c r="B81" s="9" t="s">
        <v>28</v>
      </c>
      <c r="C81" s="9" t="str">
        <f>VLOOKUP(CustomerTransactions[[#This Row],[CustomerID]],CustomerMaster[#All],2,FALSE)</f>
        <v>Mahmud Chowdhury</v>
      </c>
      <c r="D81" s="9" t="str">
        <f>VLOOKUP(CustomerTransactions[[#This Row],[CustomerID]],CustomerMaster[#All],3,FALSE)</f>
        <v>Premium</v>
      </c>
      <c r="E81" s="10">
        <v>45454</v>
      </c>
      <c r="F81" s="11">
        <f>MONTH(CustomerTransactions[[#This Row],[TransactionDate]])</f>
        <v>6</v>
      </c>
      <c r="G81" s="9" t="s">
        <v>25</v>
      </c>
      <c r="H81" s="9" t="s">
        <v>26</v>
      </c>
      <c r="I81" s="9">
        <v>5</v>
      </c>
      <c r="J81" s="12">
        <v>2200</v>
      </c>
      <c r="K81" s="12">
        <f t="shared" si="2"/>
        <v>11000</v>
      </c>
      <c r="L81" s="13" t="s">
        <v>30</v>
      </c>
    </row>
    <row r="82" spans="1:12" x14ac:dyDescent="0.3">
      <c r="A82" s="8">
        <v>1081</v>
      </c>
      <c r="B82" s="9" t="s">
        <v>46</v>
      </c>
      <c r="C82" s="9" t="str">
        <f>VLOOKUP(CustomerTransactions[[#This Row],[CustomerID]],CustomerMaster[#All],2,FALSE)</f>
        <v>Ayesha Hossain</v>
      </c>
      <c r="D82" s="9" t="str">
        <f>VLOOKUP(CustomerTransactions[[#This Row],[CustomerID]],CustomerMaster[#All],3,FALSE)</f>
        <v>Premium</v>
      </c>
      <c r="E82" s="10">
        <v>45292</v>
      </c>
      <c r="F82" s="11">
        <f>MONTH(CustomerTransactions[[#This Row],[TransactionDate]])</f>
        <v>1</v>
      </c>
      <c r="G82" s="9" t="s">
        <v>41</v>
      </c>
      <c r="H82" s="9" t="s">
        <v>26</v>
      </c>
      <c r="I82" s="9">
        <v>3</v>
      </c>
      <c r="J82" s="12">
        <v>1500</v>
      </c>
      <c r="K82" s="12">
        <f t="shared" si="2"/>
        <v>4500</v>
      </c>
      <c r="L82" s="13" t="s">
        <v>30</v>
      </c>
    </row>
    <row r="83" spans="1:12" x14ac:dyDescent="0.3">
      <c r="A83" s="8">
        <v>1082</v>
      </c>
      <c r="B83" s="9" t="s">
        <v>21</v>
      </c>
      <c r="C83" s="9" t="str">
        <f>VLOOKUP(CustomerTransactions[[#This Row],[CustomerID]],CustomerMaster[#All],2,FALSE)</f>
        <v>Nusrat Akter</v>
      </c>
      <c r="D83" s="9" t="str">
        <f>VLOOKUP(CustomerTransactions[[#This Row],[CustomerID]],CustomerMaster[#All],3,FALSE)</f>
        <v>Premium</v>
      </c>
      <c r="E83" s="10">
        <v>45333</v>
      </c>
      <c r="F83" s="11">
        <f>MONTH(CustomerTransactions[[#This Row],[TransactionDate]])</f>
        <v>2</v>
      </c>
      <c r="G83" s="9" t="s">
        <v>23</v>
      </c>
      <c r="H83" s="9" t="s">
        <v>10</v>
      </c>
      <c r="I83" s="9">
        <v>8</v>
      </c>
      <c r="J83" s="12">
        <v>20</v>
      </c>
      <c r="K83" s="12">
        <f t="shared" si="2"/>
        <v>160</v>
      </c>
      <c r="L83" s="13" t="s">
        <v>19</v>
      </c>
    </row>
    <row r="84" spans="1:12" x14ac:dyDescent="0.3">
      <c r="A84" s="8">
        <v>1083</v>
      </c>
      <c r="B84" s="9" t="s">
        <v>22</v>
      </c>
      <c r="C84" s="9" t="str">
        <f>VLOOKUP(CustomerTransactions[[#This Row],[CustomerID]],CustomerMaster[#All],2,FALSE)</f>
        <v>Karim Sarker</v>
      </c>
      <c r="D84" s="9" t="str">
        <f>VLOOKUP(CustomerTransactions[[#This Row],[CustomerID]],CustomerMaster[#All],3,FALSE)</f>
        <v>Premium</v>
      </c>
      <c r="E84" s="10">
        <v>45472</v>
      </c>
      <c r="F84" s="11">
        <f>MONTH(CustomerTransactions[[#This Row],[TransactionDate]])</f>
        <v>6</v>
      </c>
      <c r="G84" s="9" t="s">
        <v>25</v>
      </c>
      <c r="H84" s="9" t="s">
        <v>26</v>
      </c>
      <c r="I84" s="9">
        <v>9</v>
      </c>
      <c r="J84" s="12">
        <v>2200</v>
      </c>
      <c r="K84" s="12">
        <f t="shared" si="2"/>
        <v>19800</v>
      </c>
      <c r="L84" s="13" t="s">
        <v>11</v>
      </c>
    </row>
    <row r="85" spans="1:12" x14ac:dyDescent="0.3">
      <c r="A85" s="8">
        <v>1084</v>
      </c>
      <c r="B85" s="9" t="s">
        <v>44</v>
      </c>
      <c r="C85" s="9" t="str">
        <f>VLOOKUP(CustomerTransactions[[#This Row],[CustomerID]],CustomerMaster[#All],2,FALSE)</f>
        <v>Nusrat Ahmed</v>
      </c>
      <c r="D85" s="9" t="str">
        <f>VLOOKUP(CustomerTransactions[[#This Row],[CustomerID]],CustomerMaster[#All],3,FALSE)</f>
        <v>Premium</v>
      </c>
      <c r="E85" s="10">
        <v>45320</v>
      </c>
      <c r="F85" s="11">
        <f>MONTH(CustomerTransactions[[#This Row],[TransactionDate]])</f>
        <v>1</v>
      </c>
      <c r="G85" s="9" t="s">
        <v>13</v>
      </c>
      <c r="H85" s="9" t="s">
        <v>14</v>
      </c>
      <c r="I85" s="9">
        <v>3</v>
      </c>
      <c r="J85" s="12">
        <v>200</v>
      </c>
      <c r="K85" s="12">
        <f t="shared" si="2"/>
        <v>600</v>
      </c>
      <c r="L85" s="13" t="s">
        <v>34</v>
      </c>
    </row>
    <row r="86" spans="1:12" x14ac:dyDescent="0.3">
      <c r="A86" s="8">
        <v>1085</v>
      </c>
      <c r="B86" s="9" t="s">
        <v>22</v>
      </c>
      <c r="C86" s="9" t="str">
        <f>VLOOKUP(CustomerTransactions[[#This Row],[CustomerID]],CustomerMaster[#All],2,FALSE)</f>
        <v>Karim Sarker</v>
      </c>
      <c r="D86" s="9" t="str">
        <f>VLOOKUP(CustomerTransactions[[#This Row],[CustomerID]],CustomerMaster[#All],3,FALSE)</f>
        <v>Premium</v>
      </c>
      <c r="E86" s="10">
        <v>45301</v>
      </c>
      <c r="F86" s="11">
        <f>MONTH(CustomerTransactions[[#This Row],[TransactionDate]])</f>
        <v>1</v>
      </c>
      <c r="G86" s="9" t="s">
        <v>29</v>
      </c>
      <c r="H86" s="9" t="s">
        <v>26</v>
      </c>
      <c r="I86" s="9">
        <v>6</v>
      </c>
      <c r="J86" s="12">
        <v>300</v>
      </c>
      <c r="K86" s="12">
        <f t="shared" si="2"/>
        <v>1800</v>
      </c>
      <c r="L86" s="13" t="s">
        <v>11</v>
      </c>
    </row>
    <row r="87" spans="1:12" x14ac:dyDescent="0.3">
      <c r="A87" s="8">
        <v>1086</v>
      </c>
      <c r="B87" s="9" t="s">
        <v>16</v>
      </c>
      <c r="C87" s="9" t="str">
        <f>VLOOKUP(CustomerTransactions[[#This Row],[CustomerID]],CustomerMaster[#All],2,FALSE)</f>
        <v>Shirin Khan</v>
      </c>
      <c r="D87" s="9" t="str">
        <f>VLOOKUP(CustomerTransactions[[#This Row],[CustomerID]],CustomerMaster[#All],3,FALSE)</f>
        <v>Regular</v>
      </c>
      <c r="E87" s="10">
        <v>45433</v>
      </c>
      <c r="F87" s="11">
        <f>MONTH(CustomerTransactions[[#This Row],[TransactionDate]])</f>
        <v>5</v>
      </c>
      <c r="G87" s="9" t="s">
        <v>32</v>
      </c>
      <c r="H87" s="9" t="s">
        <v>14</v>
      </c>
      <c r="I87" s="9">
        <v>7</v>
      </c>
      <c r="J87" s="12">
        <v>250</v>
      </c>
      <c r="K87" s="12">
        <f t="shared" si="2"/>
        <v>1750</v>
      </c>
      <c r="L87" s="13" t="s">
        <v>19</v>
      </c>
    </row>
    <row r="88" spans="1:12" x14ac:dyDescent="0.3">
      <c r="A88" s="8">
        <v>1087</v>
      </c>
      <c r="B88" s="9" t="s">
        <v>31</v>
      </c>
      <c r="C88" s="9" t="str">
        <f>VLOOKUP(CustomerTransactions[[#This Row],[CustomerID]],CustomerMaster[#All],2,FALSE)</f>
        <v>Lucky Islam</v>
      </c>
      <c r="D88" s="9" t="str">
        <f>VLOOKUP(CustomerTransactions[[#This Row],[CustomerID]],CustomerMaster[#All],3,FALSE)</f>
        <v>Regular</v>
      </c>
      <c r="E88" s="10">
        <v>45302</v>
      </c>
      <c r="F88" s="11">
        <f>MONTH(CustomerTransactions[[#This Row],[TransactionDate]])</f>
        <v>1</v>
      </c>
      <c r="G88" s="9" t="s">
        <v>48</v>
      </c>
      <c r="H88" s="9" t="s">
        <v>18</v>
      </c>
      <c r="I88" s="9">
        <v>6</v>
      </c>
      <c r="J88" s="12">
        <v>900</v>
      </c>
      <c r="K88" s="12">
        <f t="shared" si="2"/>
        <v>5400</v>
      </c>
      <c r="L88" s="13" t="s">
        <v>15</v>
      </c>
    </row>
    <row r="89" spans="1:12" x14ac:dyDescent="0.3">
      <c r="A89" s="8">
        <v>1088</v>
      </c>
      <c r="B89" s="9" t="s">
        <v>46</v>
      </c>
      <c r="C89" s="9" t="str">
        <f>VLOOKUP(CustomerTransactions[[#This Row],[CustomerID]],CustomerMaster[#All],2,FALSE)</f>
        <v>Ayesha Hossain</v>
      </c>
      <c r="D89" s="9" t="str">
        <f>VLOOKUP(CustomerTransactions[[#This Row],[CustomerID]],CustomerMaster[#All],3,FALSE)</f>
        <v>Premium</v>
      </c>
      <c r="E89" s="10">
        <v>45383</v>
      </c>
      <c r="F89" s="11">
        <f>MONTH(CustomerTransactions[[#This Row],[TransactionDate]])</f>
        <v>4</v>
      </c>
      <c r="G89" s="9" t="s">
        <v>17</v>
      </c>
      <c r="H89" s="9" t="s">
        <v>18</v>
      </c>
      <c r="I89" s="9">
        <v>4</v>
      </c>
      <c r="J89" s="12">
        <v>1200</v>
      </c>
      <c r="K89" s="12">
        <f t="shared" si="2"/>
        <v>4800</v>
      </c>
      <c r="L89" s="13" t="s">
        <v>30</v>
      </c>
    </row>
    <row r="90" spans="1:12" x14ac:dyDescent="0.3">
      <c r="A90" s="8">
        <v>1089</v>
      </c>
      <c r="B90" s="9" t="s">
        <v>36</v>
      </c>
      <c r="C90" s="9" t="str">
        <f>VLOOKUP(CustomerTransactions[[#This Row],[CustomerID]],CustomerMaster[#All],2,FALSE)</f>
        <v>Karim Islam</v>
      </c>
      <c r="D90" s="9" t="str">
        <f>VLOOKUP(CustomerTransactions[[#This Row],[CustomerID]],CustomerMaster[#All],3,FALSE)</f>
        <v>Premium</v>
      </c>
      <c r="E90" s="10">
        <v>45382</v>
      </c>
      <c r="F90" s="11">
        <f>MONTH(CustomerTransactions[[#This Row],[TransactionDate]])</f>
        <v>3</v>
      </c>
      <c r="G90" s="9" t="s">
        <v>9</v>
      </c>
      <c r="H90" s="9" t="s">
        <v>10</v>
      </c>
      <c r="I90" s="9">
        <v>9</v>
      </c>
      <c r="J90" s="12">
        <v>30</v>
      </c>
      <c r="K90" s="12">
        <f t="shared" si="2"/>
        <v>270</v>
      </c>
      <c r="L90" s="13" t="s">
        <v>11</v>
      </c>
    </row>
    <row r="91" spans="1:12" x14ac:dyDescent="0.3">
      <c r="A91" s="8">
        <v>1090</v>
      </c>
      <c r="B91" s="9" t="s">
        <v>24</v>
      </c>
      <c r="C91" s="9" t="str">
        <f>VLOOKUP(CustomerTransactions[[#This Row],[CustomerID]],CustomerMaster[#All],2,FALSE)</f>
        <v>Karim Ahmed</v>
      </c>
      <c r="D91" s="9" t="str">
        <f>VLOOKUP(CustomerTransactions[[#This Row],[CustomerID]],CustomerMaster[#All],3,FALSE)</f>
        <v>Regular</v>
      </c>
      <c r="E91" s="10">
        <v>45450</v>
      </c>
      <c r="F91" s="11">
        <f>MONTH(CustomerTransactions[[#This Row],[TransactionDate]])</f>
        <v>6</v>
      </c>
      <c r="G91" s="9" t="s">
        <v>23</v>
      </c>
      <c r="H91" s="9" t="s">
        <v>10</v>
      </c>
      <c r="I91" s="9">
        <v>3</v>
      </c>
      <c r="J91" s="12">
        <v>20</v>
      </c>
      <c r="K91" s="12">
        <f t="shared" si="2"/>
        <v>60</v>
      </c>
      <c r="L91" s="13" t="s">
        <v>11</v>
      </c>
    </row>
    <row r="92" spans="1:12" x14ac:dyDescent="0.3">
      <c r="A92" s="8">
        <v>1091</v>
      </c>
      <c r="B92" s="9" t="s">
        <v>8</v>
      </c>
      <c r="C92" s="9" t="str">
        <f>VLOOKUP(CustomerTransactions[[#This Row],[CustomerID]],CustomerMaster[#All],2,FALSE)</f>
        <v>Kamal Hossain</v>
      </c>
      <c r="D92" s="9" t="str">
        <f>VLOOKUP(CustomerTransactions[[#This Row],[CustomerID]],CustomerMaster[#All],3,FALSE)</f>
        <v>Regular</v>
      </c>
      <c r="E92" s="10">
        <v>45333</v>
      </c>
      <c r="F92" s="11">
        <f>MONTH(CustomerTransactions[[#This Row],[TransactionDate]])</f>
        <v>2</v>
      </c>
      <c r="G92" s="9" t="s">
        <v>9</v>
      </c>
      <c r="H92" s="9" t="s">
        <v>10</v>
      </c>
      <c r="I92" s="9">
        <v>3</v>
      </c>
      <c r="J92" s="12">
        <v>30</v>
      </c>
      <c r="K92" s="12">
        <f t="shared" si="2"/>
        <v>90</v>
      </c>
      <c r="L92" s="13" t="s">
        <v>11</v>
      </c>
    </row>
    <row r="93" spans="1:12" x14ac:dyDescent="0.3">
      <c r="A93" s="8">
        <v>1092</v>
      </c>
      <c r="B93" s="9" t="s">
        <v>24</v>
      </c>
      <c r="C93" s="9" t="str">
        <f>VLOOKUP(CustomerTransactions[[#This Row],[CustomerID]],CustomerMaster[#All],2,FALSE)</f>
        <v>Karim Ahmed</v>
      </c>
      <c r="D93" s="9" t="str">
        <f>VLOOKUP(CustomerTransactions[[#This Row],[CustomerID]],CustomerMaster[#All],3,FALSE)</f>
        <v>Regular</v>
      </c>
      <c r="E93" s="10">
        <v>45298</v>
      </c>
      <c r="F93" s="11">
        <f>MONTH(CustomerTransactions[[#This Row],[TransactionDate]])</f>
        <v>1</v>
      </c>
      <c r="G93" s="9" t="s">
        <v>32</v>
      </c>
      <c r="H93" s="9" t="s">
        <v>14</v>
      </c>
      <c r="I93" s="9">
        <v>6</v>
      </c>
      <c r="J93" s="12">
        <v>250</v>
      </c>
      <c r="K93" s="12">
        <f t="shared" si="2"/>
        <v>1500</v>
      </c>
      <c r="L93" s="13" t="s">
        <v>11</v>
      </c>
    </row>
    <row r="94" spans="1:12" x14ac:dyDescent="0.3">
      <c r="A94" s="8">
        <v>1093</v>
      </c>
      <c r="B94" s="9" t="s">
        <v>24</v>
      </c>
      <c r="C94" s="9" t="str">
        <f>VLOOKUP(CustomerTransactions[[#This Row],[CustomerID]],CustomerMaster[#All],2,FALSE)</f>
        <v>Karim Ahmed</v>
      </c>
      <c r="D94" s="9" t="str">
        <f>VLOOKUP(CustomerTransactions[[#This Row],[CustomerID]],CustomerMaster[#All],3,FALSE)</f>
        <v>Regular</v>
      </c>
      <c r="E94" s="10">
        <v>45463</v>
      </c>
      <c r="F94" s="11">
        <f>MONTH(CustomerTransactions[[#This Row],[TransactionDate]])</f>
        <v>6</v>
      </c>
      <c r="G94" s="9" t="s">
        <v>29</v>
      </c>
      <c r="H94" s="9" t="s">
        <v>26</v>
      </c>
      <c r="I94" s="9">
        <v>4</v>
      </c>
      <c r="J94" s="12">
        <v>300</v>
      </c>
      <c r="K94" s="12">
        <f t="shared" si="2"/>
        <v>1200</v>
      </c>
      <c r="L94" s="13" t="s">
        <v>11</v>
      </c>
    </row>
    <row r="95" spans="1:12" x14ac:dyDescent="0.3">
      <c r="A95" s="8">
        <v>1094</v>
      </c>
      <c r="B95" s="9" t="s">
        <v>21</v>
      </c>
      <c r="C95" s="9" t="str">
        <f>VLOOKUP(CustomerTransactions[[#This Row],[CustomerID]],CustomerMaster[#All],2,FALSE)</f>
        <v>Nusrat Akter</v>
      </c>
      <c r="D95" s="9" t="str">
        <f>VLOOKUP(CustomerTransactions[[#This Row],[CustomerID]],CustomerMaster[#All],3,FALSE)</f>
        <v>Premium</v>
      </c>
      <c r="E95" s="10">
        <v>45332</v>
      </c>
      <c r="F95" s="11">
        <f>MONTH(CustomerTransactions[[#This Row],[TransactionDate]])</f>
        <v>2</v>
      </c>
      <c r="G95" s="9" t="s">
        <v>9</v>
      </c>
      <c r="H95" s="9" t="s">
        <v>10</v>
      </c>
      <c r="I95" s="9">
        <v>2</v>
      </c>
      <c r="J95" s="12">
        <v>30</v>
      </c>
      <c r="K95" s="12">
        <f t="shared" si="2"/>
        <v>60</v>
      </c>
      <c r="L95" s="13" t="s">
        <v>19</v>
      </c>
    </row>
    <row r="96" spans="1:12" x14ac:dyDescent="0.3">
      <c r="A96" s="8">
        <v>1095</v>
      </c>
      <c r="B96" s="9" t="s">
        <v>12</v>
      </c>
      <c r="C96" s="9" t="str">
        <f>VLOOKUP(CustomerTransactions[[#This Row],[CustomerID]],CustomerMaster[#All],2,FALSE)</f>
        <v>Ruma Begum</v>
      </c>
      <c r="D96" s="9" t="str">
        <f>VLOOKUP(CustomerTransactions[[#This Row],[CustomerID]],CustomerMaster[#All],3,FALSE)</f>
        <v>Premium</v>
      </c>
      <c r="E96" s="10">
        <v>45301</v>
      </c>
      <c r="F96" s="11">
        <f>MONTH(CustomerTransactions[[#This Row],[TransactionDate]])</f>
        <v>1</v>
      </c>
      <c r="G96" s="9" t="s">
        <v>29</v>
      </c>
      <c r="H96" s="9" t="s">
        <v>26</v>
      </c>
      <c r="I96" s="9">
        <v>8</v>
      </c>
      <c r="J96" s="12">
        <v>300</v>
      </c>
      <c r="K96" s="12">
        <f t="shared" si="2"/>
        <v>2400</v>
      </c>
      <c r="L96" s="13" t="s">
        <v>15</v>
      </c>
    </row>
    <row r="97" spans="1:12" x14ac:dyDescent="0.3">
      <c r="A97" s="8">
        <v>1096</v>
      </c>
      <c r="B97" s="9" t="s">
        <v>8</v>
      </c>
      <c r="C97" s="9" t="str">
        <f>VLOOKUP(CustomerTransactions[[#This Row],[CustomerID]],CustomerMaster[#All],2,FALSE)</f>
        <v>Kamal Hossain</v>
      </c>
      <c r="D97" s="9" t="str">
        <f>VLOOKUP(CustomerTransactions[[#This Row],[CustomerID]],CustomerMaster[#All],3,FALSE)</f>
        <v>Regular</v>
      </c>
      <c r="E97" s="10">
        <v>45343</v>
      </c>
      <c r="F97" s="11">
        <f>MONTH(CustomerTransactions[[#This Row],[TransactionDate]])</f>
        <v>2</v>
      </c>
      <c r="G97" s="9" t="s">
        <v>29</v>
      </c>
      <c r="H97" s="9" t="s">
        <v>26</v>
      </c>
      <c r="I97" s="9">
        <v>8</v>
      </c>
      <c r="J97" s="12">
        <v>300</v>
      </c>
      <c r="K97" s="12">
        <f t="shared" si="2"/>
        <v>2400</v>
      </c>
      <c r="L97" s="13" t="s">
        <v>11</v>
      </c>
    </row>
    <row r="98" spans="1:12" x14ac:dyDescent="0.3">
      <c r="A98" s="8">
        <v>1097</v>
      </c>
      <c r="B98" s="9" t="s">
        <v>50</v>
      </c>
      <c r="C98" s="9" t="str">
        <f>VLOOKUP(CustomerTransactions[[#This Row],[CustomerID]],CustomerMaster[#All],2,FALSE)</f>
        <v>Mizan Akter</v>
      </c>
      <c r="D98" s="9" t="str">
        <f>VLOOKUP(CustomerTransactions[[#This Row],[CustomerID]],CustomerMaster[#All],3,FALSE)</f>
        <v>Regular</v>
      </c>
      <c r="E98" s="10">
        <v>45370</v>
      </c>
      <c r="F98" s="11">
        <f>MONTH(CustomerTransactions[[#This Row],[TransactionDate]])</f>
        <v>3</v>
      </c>
      <c r="G98" s="9" t="s">
        <v>29</v>
      </c>
      <c r="H98" s="9" t="s">
        <v>26</v>
      </c>
      <c r="I98" s="9">
        <v>4</v>
      </c>
      <c r="J98" s="12">
        <v>300</v>
      </c>
      <c r="K98" s="12">
        <f t="shared" ref="K98:K101" si="3">I98*J98</f>
        <v>1200</v>
      </c>
      <c r="L98" s="13" t="s">
        <v>15</v>
      </c>
    </row>
    <row r="99" spans="1:12" x14ac:dyDescent="0.3">
      <c r="A99" s="8">
        <v>1098</v>
      </c>
      <c r="B99" s="9" t="s">
        <v>8</v>
      </c>
      <c r="C99" s="9" t="str">
        <f>VLOOKUP(CustomerTransactions[[#This Row],[CustomerID]],CustomerMaster[#All],2,FALSE)</f>
        <v>Kamal Hossain</v>
      </c>
      <c r="D99" s="9" t="str">
        <f>VLOOKUP(CustomerTransactions[[#This Row],[CustomerID]],CustomerMaster[#All],3,FALSE)</f>
        <v>Regular</v>
      </c>
      <c r="E99" s="10">
        <v>45298</v>
      </c>
      <c r="F99" s="11">
        <f>MONTH(CustomerTransactions[[#This Row],[TransactionDate]])</f>
        <v>1</v>
      </c>
      <c r="G99" s="9" t="s">
        <v>35</v>
      </c>
      <c r="H99" s="9" t="s">
        <v>18</v>
      </c>
      <c r="I99" s="9">
        <v>4</v>
      </c>
      <c r="J99" s="12">
        <v>700</v>
      </c>
      <c r="K99" s="12">
        <f t="shared" si="3"/>
        <v>2800</v>
      </c>
      <c r="L99" s="13" t="s">
        <v>11</v>
      </c>
    </row>
    <row r="100" spans="1:12" x14ac:dyDescent="0.3">
      <c r="A100" s="8">
        <v>1099</v>
      </c>
      <c r="B100" s="9" t="s">
        <v>12</v>
      </c>
      <c r="C100" s="9" t="str">
        <f>VLOOKUP(CustomerTransactions[[#This Row],[CustomerID]],CustomerMaster[#All],2,FALSE)</f>
        <v>Ruma Begum</v>
      </c>
      <c r="D100" s="9" t="str">
        <f>VLOOKUP(CustomerTransactions[[#This Row],[CustomerID]],CustomerMaster[#All],3,FALSE)</f>
        <v>Premium</v>
      </c>
      <c r="E100" s="10">
        <v>45376</v>
      </c>
      <c r="F100" s="11">
        <f>MONTH(CustomerTransactions[[#This Row],[TransactionDate]])</f>
        <v>3</v>
      </c>
      <c r="G100" s="9" t="s">
        <v>48</v>
      </c>
      <c r="H100" s="9" t="s">
        <v>18</v>
      </c>
      <c r="I100" s="9">
        <v>2</v>
      </c>
      <c r="J100" s="12">
        <v>900</v>
      </c>
      <c r="K100" s="12">
        <f t="shared" si="3"/>
        <v>1800</v>
      </c>
      <c r="L100" s="13" t="s">
        <v>15</v>
      </c>
    </row>
    <row r="101" spans="1:12" x14ac:dyDescent="0.3">
      <c r="A101" s="14">
        <v>1100</v>
      </c>
      <c r="B101" s="15" t="s">
        <v>21</v>
      </c>
      <c r="C101" s="15" t="str">
        <f>VLOOKUP(CustomerTransactions[[#This Row],[CustomerID]],CustomerMaster[#All],2,FALSE)</f>
        <v>Nusrat Akter</v>
      </c>
      <c r="D101" s="15" t="str">
        <f>VLOOKUP(CustomerTransactions[[#This Row],[CustomerID]],CustomerMaster[#All],3,FALSE)</f>
        <v>Premium</v>
      </c>
      <c r="E101" s="16">
        <v>45376</v>
      </c>
      <c r="F101" s="17">
        <f>MONTH(CustomerTransactions[[#This Row],[TransactionDate]])</f>
        <v>3</v>
      </c>
      <c r="G101" s="15" t="s">
        <v>35</v>
      </c>
      <c r="H101" s="15" t="s">
        <v>18</v>
      </c>
      <c r="I101" s="15">
        <v>9</v>
      </c>
      <c r="J101" s="18">
        <v>700</v>
      </c>
      <c r="K101" s="18">
        <f t="shared" si="3"/>
        <v>6300</v>
      </c>
      <c r="L101" s="19" t="s">
        <v>19</v>
      </c>
    </row>
    <row r="102" spans="1:12" x14ac:dyDescent="0.3">
      <c r="G102" s="34" t="s">
        <v>73</v>
      </c>
      <c r="H102" s="35"/>
      <c r="I102" s="35"/>
      <c r="J102" s="35">
        <f>SUM(CustomerTransactions[Revenue])</f>
        <v>330940</v>
      </c>
      <c r="K102" s="35"/>
    </row>
    <row r="103" spans="1:12" x14ac:dyDescent="0.3">
      <c r="G103" s="36" t="s">
        <v>74</v>
      </c>
      <c r="H103" s="36"/>
      <c r="I103" s="36"/>
      <c r="J103" s="37">
        <f>SUMIFS(CustomerTransactions[Revenue],CustomerTransactions[CustomerType],"Premium")</f>
        <v>164620</v>
      </c>
      <c r="K103" s="37"/>
    </row>
    <row r="104" spans="1:12" x14ac:dyDescent="0.3">
      <c r="G104" s="38" t="s">
        <v>75</v>
      </c>
      <c r="H104" s="39"/>
      <c r="I104" s="40"/>
      <c r="J104" s="37">
        <f>SUMIFS(CustomerTransactions[Revenue],CustomerTransactions[CustomerType],"Regular")</f>
        <v>166320</v>
      </c>
      <c r="K104" s="37"/>
    </row>
    <row r="105" spans="1:12" x14ac:dyDescent="0.3">
      <c r="G105" s="41" t="s">
        <v>76</v>
      </c>
      <c r="H105" s="41"/>
      <c r="I105" s="41"/>
      <c r="J105" s="37">
        <f>SUMIFS(CustomerTransactions[Revenue],CustomerTransactions[Category],"Electronics",CustomerTransactions[Region],"Sylhet")</f>
        <v>24700</v>
      </c>
      <c r="K105" s="37"/>
    </row>
    <row r="106" spans="1:12" x14ac:dyDescent="0.3">
      <c r="G106" s="41" t="s">
        <v>77</v>
      </c>
      <c r="H106" s="41"/>
      <c r="I106" s="41"/>
      <c r="J106" s="37">
        <f>COUNTIF(CustomerTransactions[CustomerType],"Premium")</f>
        <v>50</v>
      </c>
      <c r="K106" s="37"/>
    </row>
    <row r="107" spans="1:12" x14ac:dyDescent="0.3">
      <c r="G107" s="41" t="s">
        <v>78</v>
      </c>
      <c r="H107" s="41"/>
      <c r="I107" s="41"/>
      <c r="J107" s="37">
        <f>COUNTIFS(CustomerTransactions[CustomerType],"Premium",CustomerTransactions[Category],"Electronics")</f>
        <v>18</v>
      </c>
      <c r="K107" s="37"/>
    </row>
  </sheetData>
  <mergeCells count="12">
    <mergeCell ref="G105:I105"/>
    <mergeCell ref="J105:K105"/>
    <mergeCell ref="G106:I106"/>
    <mergeCell ref="J106:K106"/>
    <mergeCell ref="J107:K107"/>
    <mergeCell ref="G107:I107"/>
    <mergeCell ref="G102:I102"/>
    <mergeCell ref="J102:K102"/>
    <mergeCell ref="G103:I103"/>
    <mergeCell ref="J103:K103"/>
    <mergeCell ref="J104:K104"/>
    <mergeCell ref="G104:I104"/>
  </mergeCells>
  <pageMargins left="0.75" right="0.75" top="1" bottom="1" header="0.511811023622047" footer="0.511811023622047"/>
  <pageSetup paperSize="9" orientation="portrait" horizontalDpi="300" verticalDpi="300"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2:M9"/>
  <sheetViews>
    <sheetView workbookViewId="0">
      <selection activeCell="M16" sqref="M16"/>
    </sheetView>
  </sheetViews>
  <sheetFormatPr defaultRowHeight="14.4" x14ac:dyDescent="0.3"/>
  <cols>
    <col min="13" max="13" width="22.5546875" customWidth="1"/>
  </cols>
  <sheetData>
    <row r="2" spans="6:13" ht="15" customHeight="1" x14ac:dyDescent="0.3">
      <c r="F2" s="54" t="s">
        <v>95</v>
      </c>
      <c r="G2" s="54"/>
      <c r="H2" s="54"/>
      <c r="I2" s="54"/>
      <c r="J2" s="54"/>
      <c r="K2" s="54"/>
      <c r="L2" s="54"/>
      <c r="M2" s="54"/>
    </row>
    <row r="3" spans="6:13" ht="15" customHeight="1" x14ac:dyDescent="0.3">
      <c r="F3" s="54"/>
      <c r="G3" s="54"/>
      <c r="H3" s="54"/>
      <c r="I3" s="54"/>
      <c r="J3" s="54"/>
      <c r="K3" s="54"/>
      <c r="L3" s="54"/>
      <c r="M3" s="54"/>
    </row>
    <row r="4" spans="6:13" x14ac:dyDescent="0.3">
      <c r="F4" s="48" t="s">
        <v>79</v>
      </c>
      <c r="G4" s="50"/>
      <c r="H4" s="51" t="str">
        <f>Dashboard!E5</f>
        <v>May</v>
      </c>
      <c r="I4" s="52"/>
      <c r="J4" s="48" t="s">
        <v>73</v>
      </c>
      <c r="K4" s="49"/>
      <c r="L4" s="50"/>
      <c r="M4" s="22">
        <f>SUMIFS(CustomerTransactions[Revenue],CustomerTransactions[Month],KPI!H5,CustomerTransactions[Region],KPI!H7)</f>
        <v>14750</v>
      </c>
    </row>
    <row r="5" spans="6:13" x14ac:dyDescent="0.3">
      <c r="F5" s="48" t="s">
        <v>94</v>
      </c>
      <c r="G5" s="50"/>
      <c r="H5" s="55">
        <f>VLOOKUP(H4,CustomerTransactions!N2:O13,2,FALSE)</f>
        <v>5</v>
      </c>
      <c r="I5" s="55"/>
      <c r="J5" s="48" t="s">
        <v>96</v>
      </c>
      <c r="K5" s="49"/>
      <c r="L5" s="50"/>
      <c r="M5" s="22">
        <f>COUNTIFS(CustomerTransactions[Month],KPI!H5,CustomerTransactions[Region],KPI!H7)</f>
        <v>4</v>
      </c>
    </row>
    <row r="6" spans="6:13" x14ac:dyDescent="0.3">
      <c r="F6" s="53"/>
      <c r="G6" s="53"/>
      <c r="H6" s="53"/>
      <c r="I6" s="53"/>
      <c r="J6" s="48" t="s">
        <v>97</v>
      </c>
      <c r="K6" s="49"/>
      <c r="L6" s="50"/>
      <c r="M6" s="22">
        <f>SUMIFS(CustomerTransactions[Quantity],CustomerTransactions[Month],KPI!H5,CustomerTransactions[Region],KPI!H7)</f>
        <v>9</v>
      </c>
    </row>
    <row r="7" spans="6:13" x14ac:dyDescent="0.3">
      <c r="F7" s="48" t="s">
        <v>7</v>
      </c>
      <c r="G7" s="50"/>
      <c r="H7" s="51" t="str">
        <f>Dashboard!E8</f>
        <v>Chattogram</v>
      </c>
      <c r="I7" s="52"/>
      <c r="J7" s="48" t="s">
        <v>98</v>
      </c>
      <c r="K7" s="49"/>
      <c r="L7" s="50"/>
      <c r="M7" s="22">
        <f>IFERROR(AVERAGEIFS(CustomerTransactions[UnitPrice],CustomerTransactions[Month],KPI!H5,CustomerTransactions[Region],KPI!H7),"N/A")</f>
        <v>937.5</v>
      </c>
    </row>
    <row r="8" spans="6:13" x14ac:dyDescent="0.3">
      <c r="F8" s="42"/>
      <c r="G8" s="43"/>
      <c r="H8" s="43"/>
      <c r="I8" s="44"/>
      <c r="J8" s="48" t="s">
        <v>99</v>
      </c>
      <c r="K8" s="49"/>
      <c r="L8" s="50"/>
      <c r="M8" s="22">
        <f>COUNTIFS(CustomerTransactions[Month],KPI!H5,CustomerTransactions[Region], KPI!H7,CustomerTransactions[CustomerType],"Premium")</f>
        <v>1</v>
      </c>
    </row>
    <row r="9" spans="6:13" x14ac:dyDescent="0.3">
      <c r="F9" s="45"/>
      <c r="G9" s="46"/>
      <c r="H9" s="46"/>
      <c r="I9" s="47"/>
      <c r="J9" s="48" t="s">
        <v>100</v>
      </c>
      <c r="K9" s="49"/>
      <c r="L9" s="50"/>
      <c r="M9" s="22">
        <f>SUMIFS(CustomerTransactions[Revenue],CustomerTransactions[Month],KPI!H5,CustomerTransactions[Region], KPI!H7,CustomerTransactions[CustomerType],"Premium")</f>
        <v>600</v>
      </c>
    </row>
  </sheetData>
  <mergeCells count="15">
    <mergeCell ref="F2:M3"/>
    <mergeCell ref="F4:G4"/>
    <mergeCell ref="H4:I4"/>
    <mergeCell ref="F5:G5"/>
    <mergeCell ref="H5:I5"/>
    <mergeCell ref="F8:I9"/>
    <mergeCell ref="J4:L4"/>
    <mergeCell ref="J6:L6"/>
    <mergeCell ref="J5:L5"/>
    <mergeCell ref="J7:L7"/>
    <mergeCell ref="J8:L8"/>
    <mergeCell ref="J9:L9"/>
    <mergeCell ref="F7:G7"/>
    <mergeCell ref="H7:I7"/>
    <mergeCell ref="F6:I6"/>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zoomScaleNormal="100" workbookViewId="0">
      <pane ySplit="1" topLeftCell="A2" activePane="bottomLeft" state="frozen"/>
      <selection pane="bottomLeft" activeCell="D12" sqref="D12"/>
    </sheetView>
  </sheetViews>
  <sheetFormatPr defaultColWidth="8.6640625" defaultRowHeight="14.4" x14ac:dyDescent="0.3"/>
  <cols>
    <col min="1" max="1" width="15.109375" customWidth="1"/>
    <col min="2" max="2" width="20" customWidth="1"/>
    <col min="3" max="3" width="18" customWidth="1"/>
  </cols>
  <sheetData>
    <row r="1" spans="1:3" x14ac:dyDescent="0.3">
      <c r="A1" s="1" t="s">
        <v>0</v>
      </c>
      <c r="B1" s="1" t="s">
        <v>51</v>
      </c>
      <c r="C1" s="1" t="s">
        <v>52</v>
      </c>
    </row>
    <row r="2" spans="1:3" x14ac:dyDescent="0.3">
      <c r="A2" s="2" t="s">
        <v>44</v>
      </c>
      <c r="B2" s="2" t="s">
        <v>53</v>
      </c>
      <c r="C2" s="2" t="s">
        <v>54</v>
      </c>
    </row>
    <row r="3" spans="1:3" x14ac:dyDescent="0.3">
      <c r="A3" s="2" t="s">
        <v>46</v>
      </c>
      <c r="B3" s="2" t="s">
        <v>55</v>
      </c>
      <c r="C3" s="2" t="s">
        <v>54</v>
      </c>
    </row>
    <row r="4" spans="1:3" x14ac:dyDescent="0.3">
      <c r="A4" s="2" t="s">
        <v>28</v>
      </c>
      <c r="B4" s="2" t="s">
        <v>56</v>
      </c>
      <c r="C4" s="2" t="s">
        <v>54</v>
      </c>
    </row>
    <row r="5" spans="1:3" x14ac:dyDescent="0.3">
      <c r="A5" s="2" t="s">
        <v>36</v>
      </c>
      <c r="B5" s="2" t="s">
        <v>57</v>
      </c>
      <c r="C5" s="2" t="s">
        <v>54</v>
      </c>
    </row>
    <row r="6" spans="1:3" x14ac:dyDescent="0.3">
      <c r="A6" s="2" t="s">
        <v>31</v>
      </c>
      <c r="B6" s="2" t="s">
        <v>58</v>
      </c>
      <c r="C6" s="2" t="s">
        <v>59</v>
      </c>
    </row>
    <row r="7" spans="1:3" x14ac:dyDescent="0.3">
      <c r="A7" s="2" t="s">
        <v>43</v>
      </c>
      <c r="B7" s="2" t="s">
        <v>60</v>
      </c>
      <c r="C7" s="2" t="s">
        <v>59</v>
      </c>
    </row>
    <row r="8" spans="1:3" x14ac:dyDescent="0.3">
      <c r="A8" s="2" t="s">
        <v>40</v>
      </c>
      <c r="B8" s="2" t="s">
        <v>61</v>
      </c>
      <c r="C8" s="2" t="s">
        <v>59</v>
      </c>
    </row>
    <row r="9" spans="1:3" x14ac:dyDescent="0.3">
      <c r="A9" s="2" t="s">
        <v>8</v>
      </c>
      <c r="B9" s="2" t="s">
        <v>62</v>
      </c>
      <c r="C9" s="2" t="s">
        <v>59</v>
      </c>
    </row>
    <row r="10" spans="1:3" x14ac:dyDescent="0.3">
      <c r="A10" s="2" t="s">
        <v>21</v>
      </c>
      <c r="B10" s="2" t="s">
        <v>63</v>
      </c>
      <c r="C10" s="2" t="s">
        <v>54</v>
      </c>
    </row>
    <row r="11" spans="1:3" x14ac:dyDescent="0.3">
      <c r="A11" s="2" t="s">
        <v>39</v>
      </c>
      <c r="B11" s="2" t="s">
        <v>64</v>
      </c>
      <c r="C11" s="2" t="s">
        <v>59</v>
      </c>
    </row>
    <row r="12" spans="1:3" x14ac:dyDescent="0.3">
      <c r="A12" s="2" t="s">
        <v>47</v>
      </c>
      <c r="B12" s="2" t="s">
        <v>65</v>
      </c>
      <c r="C12" s="2" t="s">
        <v>54</v>
      </c>
    </row>
    <row r="13" spans="1:3" x14ac:dyDescent="0.3">
      <c r="A13" s="2" t="s">
        <v>50</v>
      </c>
      <c r="B13" s="2" t="s">
        <v>66</v>
      </c>
      <c r="C13" s="2" t="s">
        <v>59</v>
      </c>
    </row>
    <row r="14" spans="1:3" x14ac:dyDescent="0.3">
      <c r="A14" s="2" t="s">
        <v>12</v>
      </c>
      <c r="B14" s="2" t="s">
        <v>67</v>
      </c>
      <c r="C14" s="2" t="s">
        <v>54</v>
      </c>
    </row>
    <row r="15" spans="1:3" x14ac:dyDescent="0.3">
      <c r="A15" s="2" t="s">
        <v>24</v>
      </c>
      <c r="B15" s="2" t="s">
        <v>68</v>
      </c>
      <c r="C15" s="2" t="s">
        <v>59</v>
      </c>
    </row>
    <row r="16" spans="1:3" x14ac:dyDescent="0.3">
      <c r="A16" s="2" t="s">
        <v>37</v>
      </c>
      <c r="B16" s="2" t="s">
        <v>57</v>
      </c>
      <c r="C16" s="2" t="s">
        <v>59</v>
      </c>
    </row>
    <row r="17" spans="1:3" x14ac:dyDescent="0.3">
      <c r="A17" s="2" t="s">
        <v>69</v>
      </c>
      <c r="B17" s="2" t="s">
        <v>70</v>
      </c>
      <c r="C17" s="2" t="s">
        <v>54</v>
      </c>
    </row>
    <row r="18" spans="1:3" x14ac:dyDescent="0.3">
      <c r="A18" s="2" t="s">
        <v>38</v>
      </c>
      <c r="B18" s="2" t="s">
        <v>64</v>
      </c>
      <c r="C18" s="2" t="s">
        <v>59</v>
      </c>
    </row>
    <row r="19" spans="1:3" x14ac:dyDescent="0.3">
      <c r="A19" s="2" t="s">
        <v>22</v>
      </c>
      <c r="B19" s="2" t="s">
        <v>71</v>
      </c>
      <c r="C19" s="2" t="s">
        <v>54</v>
      </c>
    </row>
    <row r="20" spans="1:3" x14ac:dyDescent="0.3">
      <c r="A20" s="2" t="s">
        <v>16</v>
      </c>
      <c r="B20" s="2" t="s">
        <v>72</v>
      </c>
      <c r="C20" s="2" t="s">
        <v>59</v>
      </c>
    </row>
    <row r="21" spans="1:3" x14ac:dyDescent="0.3">
      <c r="A21" s="2" t="s">
        <v>33</v>
      </c>
      <c r="B21" s="2" t="s">
        <v>58</v>
      </c>
      <c r="C21" s="2" t="s">
        <v>54</v>
      </c>
    </row>
  </sheetData>
  <pageMargins left="0.7" right="0.7" top="0.75" bottom="0.75" header="0.3" footer="0.3"/>
  <pageSetup paperSize="11"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
  <sheetViews>
    <sheetView showGridLines="0" tabSelected="1" topLeftCell="B1" zoomScaleNormal="100" workbookViewId="0">
      <selection activeCell="E8" sqref="E8:E9"/>
    </sheetView>
  </sheetViews>
  <sheetFormatPr defaultRowHeight="14.4" x14ac:dyDescent="0.3"/>
  <cols>
    <col min="1" max="1" width="9.109375" hidden="1" customWidth="1"/>
    <col min="2" max="2" width="3.33203125" customWidth="1"/>
    <col min="3" max="3" width="13.109375" customWidth="1"/>
    <col min="4" max="4" width="19.109375" customWidth="1"/>
    <col min="5" max="5" width="18.44140625" customWidth="1"/>
    <col min="7" max="7" width="16.33203125" customWidth="1"/>
    <col min="10" max="10" width="20" customWidth="1"/>
    <col min="12" max="12" width="9.44140625" customWidth="1"/>
    <col min="13" max="13" width="34.5546875" customWidth="1"/>
  </cols>
  <sheetData>
    <row r="1" spans="2:23" s="26" customFormat="1" ht="15" customHeight="1" x14ac:dyDescent="0.3">
      <c r="B1" s="25"/>
      <c r="C1" s="60" t="s">
        <v>101</v>
      </c>
      <c r="D1" s="61"/>
      <c r="E1" s="61"/>
      <c r="F1" s="61"/>
      <c r="G1" s="61"/>
      <c r="H1" s="61"/>
      <c r="I1" s="61"/>
      <c r="J1" s="61"/>
      <c r="K1" s="61"/>
      <c r="L1" s="61"/>
      <c r="M1" s="61"/>
      <c r="N1" s="62"/>
      <c r="O1" s="25"/>
      <c r="P1" s="25"/>
      <c r="Q1" s="25"/>
      <c r="R1" s="25"/>
      <c r="S1" s="25"/>
      <c r="T1" s="25"/>
      <c r="U1" s="25"/>
      <c r="V1" s="25"/>
      <c r="W1" s="25"/>
    </row>
    <row r="2" spans="2:23" s="26" customFormat="1" ht="15" customHeight="1" x14ac:dyDescent="0.3">
      <c r="B2" s="25"/>
      <c r="C2" s="63"/>
      <c r="D2" s="64"/>
      <c r="E2" s="64"/>
      <c r="F2" s="64"/>
      <c r="G2" s="64"/>
      <c r="H2" s="64"/>
      <c r="I2" s="64"/>
      <c r="J2" s="64"/>
      <c r="K2" s="64"/>
      <c r="L2" s="64"/>
      <c r="M2" s="64"/>
      <c r="N2" s="65"/>
      <c r="O2" s="25"/>
      <c r="P2" s="25"/>
      <c r="Q2" s="25"/>
      <c r="R2" s="25"/>
      <c r="S2" s="25"/>
      <c r="T2" s="25"/>
      <c r="U2" s="25"/>
      <c r="V2" s="25"/>
      <c r="W2" s="25"/>
    </row>
    <row r="3" spans="2:23" s="26" customFormat="1" ht="15" customHeight="1" thickBot="1" x14ac:dyDescent="0.35">
      <c r="B3" s="25"/>
      <c r="C3" s="66"/>
      <c r="D3" s="67"/>
      <c r="E3" s="67"/>
      <c r="F3" s="67"/>
      <c r="G3" s="67"/>
      <c r="H3" s="67"/>
      <c r="I3" s="67"/>
      <c r="J3" s="67"/>
      <c r="K3" s="67"/>
      <c r="L3" s="67"/>
      <c r="M3" s="67"/>
      <c r="N3" s="68"/>
      <c r="O3" s="25"/>
      <c r="P3" s="25"/>
      <c r="Q3" s="25"/>
      <c r="R3" s="25"/>
      <c r="S3" s="25"/>
      <c r="T3" s="25"/>
      <c r="U3" s="25"/>
      <c r="V3" s="25"/>
      <c r="W3" s="25"/>
    </row>
    <row r="4" spans="2:23" ht="15" thickBot="1" x14ac:dyDescent="0.35"/>
    <row r="5" spans="2:23" x14ac:dyDescent="0.3">
      <c r="C5" s="69" t="s">
        <v>79</v>
      </c>
      <c r="D5" s="70"/>
      <c r="E5" s="73" t="s">
        <v>86</v>
      </c>
      <c r="G5" s="56" t="s">
        <v>73</v>
      </c>
      <c r="H5" s="57"/>
      <c r="J5" s="56" t="s">
        <v>96</v>
      </c>
      <c r="K5" s="57"/>
      <c r="M5" s="56" t="s">
        <v>97</v>
      </c>
      <c r="N5" s="57"/>
    </row>
    <row r="6" spans="2:23" ht="15" thickBot="1" x14ac:dyDescent="0.35">
      <c r="C6" s="71"/>
      <c r="D6" s="72"/>
      <c r="E6" s="74"/>
      <c r="G6" s="58">
        <f>KPI!M4</f>
        <v>14750</v>
      </c>
      <c r="H6" s="59"/>
      <c r="J6" s="58">
        <f>KPI!M5</f>
        <v>4</v>
      </c>
      <c r="K6" s="59"/>
      <c r="M6" s="58">
        <f>KPI!M6</f>
        <v>9</v>
      </c>
      <c r="N6" s="59"/>
    </row>
    <row r="7" spans="2:23" ht="15" thickBot="1" x14ac:dyDescent="0.35"/>
    <row r="8" spans="2:23" x14ac:dyDescent="0.3">
      <c r="C8" s="69" t="s">
        <v>7</v>
      </c>
      <c r="D8" s="70"/>
      <c r="E8" s="73" t="s">
        <v>11</v>
      </c>
      <c r="G8" s="56" t="s">
        <v>102</v>
      </c>
      <c r="H8" s="57"/>
      <c r="J8" s="56" t="s">
        <v>103</v>
      </c>
      <c r="K8" s="57"/>
      <c r="M8" s="56" t="s">
        <v>100</v>
      </c>
      <c r="N8" s="57"/>
    </row>
    <row r="9" spans="2:23" ht="15" thickBot="1" x14ac:dyDescent="0.35">
      <c r="C9" s="71"/>
      <c r="D9" s="72"/>
      <c r="E9" s="74"/>
      <c r="G9" s="58">
        <f>KPI!M7</f>
        <v>937.5</v>
      </c>
      <c r="H9" s="59"/>
      <c r="J9" s="58">
        <f>KPI!M8</f>
        <v>1</v>
      </c>
      <c r="K9" s="59"/>
      <c r="M9" s="58">
        <f>KPI!M9</f>
        <v>600</v>
      </c>
      <c r="N9" s="59"/>
    </row>
  </sheetData>
  <mergeCells count="17">
    <mergeCell ref="M6:N6"/>
    <mergeCell ref="J8:K8"/>
    <mergeCell ref="J9:K9"/>
    <mergeCell ref="M8:N8"/>
    <mergeCell ref="M9:N9"/>
    <mergeCell ref="C1:N3"/>
    <mergeCell ref="C5:D6"/>
    <mergeCell ref="E5:E6"/>
    <mergeCell ref="C8:D9"/>
    <mergeCell ref="E8:E9"/>
    <mergeCell ref="G5:H5"/>
    <mergeCell ref="G6:H6"/>
    <mergeCell ref="J5:K5"/>
    <mergeCell ref="J6:K6"/>
    <mergeCell ref="G8:H8"/>
    <mergeCell ref="G9:H9"/>
    <mergeCell ref="M5:N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CustomerTransactions!$N$2:$N$13</xm:f>
          </x14:formula1>
          <xm:sqref>E5:E6</xm:sqref>
        </x14:dataValidation>
        <x14:dataValidation type="list" allowBlank="1" showInputMessage="1" showErrorMessage="1" xr:uid="{00000000-0002-0000-0500-000001000000}">
          <x14:formula1>
            <xm:f>CustomerTransactions!$Q$2:$Q$6</xm:f>
          </x14:formula1>
          <xm:sqref>E8:E9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vt:lpstr>
      <vt:lpstr>revenue Trand</vt:lpstr>
      <vt:lpstr>CustomerTransactions</vt:lpstr>
      <vt:lpstr>KPI</vt:lpstr>
      <vt:lpstr>CustomerMaster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DCL</cp:lastModifiedBy>
  <cp:revision>0</cp:revision>
  <cp:lastPrinted>2026-10-05T07:41:08Z</cp:lastPrinted>
  <dcterms:created xsi:type="dcterms:W3CDTF">2026-08-25T14:43:38Z</dcterms:created>
  <dcterms:modified xsi:type="dcterms:W3CDTF">2026-10-10T17:35:20Z</dcterms:modified>
  <dc:language>en-US</dc:language>
</cp:coreProperties>
</file>