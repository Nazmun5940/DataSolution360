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360\"/>
    </mc:Choice>
  </mc:AlternateContent>
  <xr:revisionPtr revIDLastSave="0" documentId="13_ncr:1_{431160A5-14B8-418D-A5EF-D2A374E84AC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aw_Data" sheetId="1" r:id="rId1"/>
  </sheets>
  <calcPr calcId="191029"/>
</workbook>
</file>

<file path=xl/calcChain.xml><?xml version="1.0" encoding="utf-8"?>
<calcChain xmlns="http://schemas.openxmlformats.org/spreadsheetml/2006/main">
  <c r="E100" i="1" l="1"/>
  <c r="E99" i="1"/>
  <c r="E98" i="1"/>
  <c r="E97" i="1"/>
  <c r="E96" i="1"/>
  <c r="E9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T7" i="1"/>
  <c r="T2" i="1"/>
  <c r="T3" i="1"/>
  <c r="T4" i="1"/>
  <c r="T5" i="1"/>
  <c r="T6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</calcChain>
</file>

<file path=xl/sharedStrings.xml><?xml version="1.0" encoding="utf-8"?>
<sst xmlns="http://schemas.openxmlformats.org/spreadsheetml/2006/main" count="813" uniqueCount="392">
  <si>
    <t>TransactionID</t>
  </si>
  <si>
    <t>Email</t>
  </si>
  <si>
    <t>Phone</t>
  </si>
  <si>
    <t>Product</t>
  </si>
  <si>
    <t>Category</t>
  </si>
  <si>
    <t>UnitPrice</t>
  </si>
  <si>
    <t>TransactionDate</t>
  </si>
  <si>
    <t>Ruma Ahmed</t>
  </si>
  <si>
    <t>527.722.1704</t>
  </si>
  <si>
    <t>Desk Lamp</t>
  </si>
  <si>
    <t>Furniture</t>
  </si>
  <si>
    <t>Credit Card</t>
  </si>
  <si>
    <t>Mitu Chowdhury</t>
  </si>
  <si>
    <t>079.030.6738</t>
  </si>
  <si>
    <t>Mobile Banking</t>
  </si>
  <si>
    <t>Charles Ahmed</t>
  </si>
  <si>
    <t>(236) 851-6048</t>
  </si>
  <si>
    <t>Running Shoes</t>
  </si>
  <si>
    <t>Footwear</t>
  </si>
  <si>
    <t>834-735-9774</t>
  </si>
  <si>
    <t>Keyboard</t>
  </si>
  <si>
    <t>Electronics</t>
  </si>
  <si>
    <t>Debit Card</t>
  </si>
  <si>
    <t>050.097.8820</t>
  </si>
  <si>
    <t>Bluetooth Speaker</t>
  </si>
  <si>
    <t>Matthew Williams</t>
  </si>
  <si>
    <t>512-868-2300</t>
  </si>
  <si>
    <t>Coffee Mug</t>
  </si>
  <si>
    <t>Home</t>
  </si>
  <si>
    <t>unknown</t>
  </si>
  <si>
    <t>9733484344</t>
  </si>
  <si>
    <t>(251) 778-5289</t>
  </si>
  <si>
    <t>Wireless Mouse</t>
  </si>
  <si>
    <t>Bank Transfer</t>
  </si>
  <si>
    <t>James Chowdhury</t>
  </si>
  <si>
    <t>(043) 289-8614</t>
  </si>
  <si>
    <t>Headphones</t>
  </si>
  <si>
    <t>Susan Martin</t>
  </si>
  <si>
    <t>(783) 908-4700</t>
  </si>
  <si>
    <t>Backpack</t>
  </si>
  <si>
    <t>Accessories</t>
  </si>
  <si>
    <t>561-595-1484</t>
  </si>
  <si>
    <t>Office Chair</t>
  </si>
  <si>
    <t>480.184.5146</t>
  </si>
  <si>
    <t>5868501429</t>
  </si>
  <si>
    <t>(033) 092-3271</t>
  </si>
  <si>
    <t>7974801624</t>
  </si>
  <si>
    <t>104-696-3259</t>
  </si>
  <si>
    <t>Martinez, Nancy</t>
  </si>
  <si>
    <t>7773872148</t>
  </si>
  <si>
    <t>Anderson, Sadia</t>
  </si>
  <si>
    <t>3487347143</t>
  </si>
  <si>
    <t>997-376-3116</t>
  </si>
  <si>
    <t>Yoga Mat</t>
  </si>
  <si>
    <t>Fitness</t>
  </si>
  <si>
    <t>910.229.0147</t>
  </si>
  <si>
    <t>Notebook Set</t>
  </si>
  <si>
    <t>Stationery</t>
  </si>
  <si>
    <t>Joseph Alam</t>
  </si>
  <si>
    <t>2553419283</t>
  </si>
  <si>
    <t>+8804367136959</t>
  </si>
  <si>
    <t>yoga mat</t>
  </si>
  <si>
    <t>232.260.2563</t>
  </si>
  <si>
    <t>+8804235369378</t>
  </si>
  <si>
    <t>Bkash</t>
  </si>
  <si>
    <t>Lisa Rodriguez</t>
  </si>
  <si>
    <t>621.182.3398</t>
  </si>
  <si>
    <t>1823374989</t>
  </si>
  <si>
    <t>Cash</t>
  </si>
  <si>
    <t>Christopher Islam</t>
  </si>
  <si>
    <t>+8804680715451</t>
  </si>
  <si>
    <t>Hossain, Richard</t>
  </si>
  <si>
    <t>+8806319314919</t>
  </si>
  <si>
    <t>010.062.3120</t>
  </si>
  <si>
    <t>(615) 594-0781</t>
  </si>
  <si>
    <t>9640165820</t>
  </si>
  <si>
    <t>Farhana Brown</t>
  </si>
  <si>
    <t>7775204711</t>
  </si>
  <si>
    <t>821.465.8404</t>
  </si>
  <si>
    <t>Mitu Davis</t>
  </si>
  <si>
    <t>+8804612004711</t>
  </si>
  <si>
    <t>+8809222196937</t>
  </si>
  <si>
    <t>backpack</t>
  </si>
  <si>
    <t>Mitu Ahmed</t>
  </si>
  <si>
    <t>879.470.5516</t>
  </si>
  <si>
    <t>649.909.1334</t>
  </si>
  <si>
    <t>Mitu Khan</t>
  </si>
  <si>
    <t>412.411.8244</t>
  </si>
  <si>
    <t>(518) 203-7788</t>
  </si>
  <si>
    <t>Anderson, Imran</t>
  </si>
  <si>
    <t>178-108-0132</t>
  </si>
  <si>
    <t>Charles Rodriguez</t>
  </si>
  <si>
    <t>251.925.4629</t>
  </si>
  <si>
    <t>Martinez, Betty</t>
  </si>
  <si>
    <t>Islam, Michael</t>
  </si>
  <si>
    <t>361.832.4210</t>
  </si>
  <si>
    <t>Monitor Stand</t>
  </si>
  <si>
    <t>Patricia Miller</t>
  </si>
  <si>
    <t>linda.smith@email.com</t>
  </si>
  <si>
    <t>(819) 600-1338</t>
  </si>
  <si>
    <t>Elizabeth Lopez</t>
  </si>
  <si>
    <t>095.701.5430</t>
  </si>
  <si>
    <t>Rakib Anderson</t>
  </si>
  <si>
    <t>+8807345401938</t>
  </si>
  <si>
    <t>+8809901627204</t>
  </si>
  <si>
    <t>565.431.0278</t>
  </si>
  <si>
    <t>Table Lamp</t>
  </si>
  <si>
    <t>432-445-1076</t>
  </si>
  <si>
    <t>Taylor, Sadia</t>
  </si>
  <si>
    <t>1751830469</t>
  </si>
  <si>
    <t>Karen Johnson</t>
  </si>
  <si>
    <t>515-850-6431</t>
  </si>
  <si>
    <t>268.705.6856</t>
  </si>
  <si>
    <t>Charles Karim</t>
  </si>
  <si>
    <t>915.478.8728</t>
  </si>
  <si>
    <t>(831) 367-8377</t>
  </si>
  <si>
    <t>447.364.7102</t>
  </si>
  <si>
    <t>Linda Ahmed</t>
  </si>
  <si>
    <t>363.854.6785</t>
  </si>
  <si>
    <t>+8807109324808</t>
  </si>
  <si>
    <t>Joseph Martin</t>
  </si>
  <si>
    <t>421.047.0952</t>
  </si>
  <si>
    <t>Daniel Chowdhury</t>
  </si>
  <si>
    <t>(574) 733-8484</t>
  </si>
  <si>
    <t>Wilson, Elizabeth</t>
  </si>
  <si>
    <t>9877694531</t>
  </si>
  <si>
    <t>+8804160529751</t>
  </si>
  <si>
    <t>Elizabeth Akter</t>
  </si>
  <si>
    <t>(307) 562-6368</t>
  </si>
  <si>
    <t>Sadia Chowdhury</t>
  </si>
  <si>
    <t>094.024.4550</t>
  </si>
  <si>
    <t>jennifer gonzalez</t>
  </si>
  <si>
    <t>(217) 659-1803</t>
  </si>
  <si>
    <t>5188442258</t>
  </si>
  <si>
    <t>3962185188</t>
  </si>
  <si>
    <t>Lisa Martin</t>
  </si>
  <si>
    <t>8657809134</t>
  </si>
  <si>
    <t>Michael Akter</t>
  </si>
  <si>
    <t>Martinez, Ashley</t>
  </si>
  <si>
    <t>1459332727</t>
  </si>
  <si>
    <t>+8804039106518</t>
  </si>
  <si>
    <t>108.839.8225</t>
  </si>
  <si>
    <t>+8801183673657</t>
  </si>
  <si>
    <t>Jennifer Martin</t>
  </si>
  <si>
    <t>401.399.0490</t>
  </si>
  <si>
    <t>Nusrat Alam</t>
  </si>
  <si>
    <t>bluetooth speaker</t>
  </si>
  <si>
    <t>786-801-1280</t>
  </si>
  <si>
    <t>Khan, Betty</t>
  </si>
  <si>
    <t>851.656.0494</t>
  </si>
  <si>
    <t>Rodriguez, Jennifer</t>
  </si>
  <si>
    <t>3462475107</t>
  </si>
  <si>
    <t>Ashley Wilson</t>
  </si>
  <si>
    <t>+8807632016328</t>
  </si>
  <si>
    <t>Taylor, Nusrat</t>
  </si>
  <si>
    <t>312-432-9212</t>
  </si>
  <si>
    <t>Shakib Williams</t>
  </si>
  <si>
    <t>Tanvir Davis</t>
  </si>
  <si>
    <t>Elizabeth Miller</t>
  </si>
  <si>
    <t>Margaret Hernandez</t>
  </si>
  <si>
    <t>Ruma Smith</t>
  </si>
  <si>
    <t>Karen Martinez</t>
  </si>
  <si>
    <t>Nusrat Gonzalez</t>
  </si>
  <si>
    <t>Rakib Davis</t>
  </si>
  <si>
    <t>Charles Lopez</t>
  </si>
  <si>
    <t>Michael Thomas</t>
  </si>
  <si>
    <t>William Lopez</t>
  </si>
  <si>
    <t>Robert Davis</t>
  </si>
  <si>
    <t>Michael Alam</t>
  </si>
  <si>
    <t>Mark Martin</t>
  </si>
  <si>
    <t>Elizabeth Martinez</t>
  </si>
  <si>
    <t>William Hossain</t>
  </si>
  <si>
    <t>Betty Lopez</t>
  </si>
  <si>
    <t>Rakib Taylor</t>
  </si>
  <si>
    <t>Christopher Davis</t>
  </si>
  <si>
    <t>Anthony Martinez</t>
  </si>
  <si>
    <t>Elizabeth Smith</t>
  </si>
  <si>
    <t>Nusrat Ahmed</t>
  </si>
  <si>
    <t>Jennifer Gonzalez</t>
  </si>
  <si>
    <t>Jessica Hasan</t>
  </si>
  <si>
    <t>Ruma Jackson</t>
  </si>
  <si>
    <t>Sandra Smith</t>
  </si>
  <si>
    <t>James Martin</t>
  </si>
  <si>
    <t>Shakib Thomas</t>
  </si>
  <si>
    <t>Kamal Wilson</t>
  </si>
  <si>
    <t>Mitu Islam</t>
  </si>
  <si>
    <t>Susan Anderson</t>
  </si>
  <si>
    <t>James Smith</t>
  </si>
  <si>
    <t>Susan Hasan</t>
  </si>
  <si>
    <t>213 5th Avenue</t>
  </si>
  <si>
    <t xml:space="preserve"> Chicago</t>
  </si>
  <si>
    <t xml:space="preserve"> IL 60601</t>
  </si>
  <si>
    <t>90 Hill St</t>
  </si>
  <si>
    <t xml:space="preserve"> Phoenix</t>
  </si>
  <si>
    <t xml:space="preserve"> AZ 85001</t>
  </si>
  <si>
    <t>286 Park Ave</t>
  </si>
  <si>
    <t xml:space="preserve"> Portland</t>
  </si>
  <si>
    <t xml:space="preserve"> OR 97201</t>
  </si>
  <si>
    <t>986 5th Avenue</t>
  </si>
  <si>
    <t xml:space="preserve"> Springfield</t>
  </si>
  <si>
    <t xml:space="preserve"> IL 62704</t>
  </si>
  <si>
    <t>979 Oak Ave</t>
  </si>
  <si>
    <t>612 Hill St</t>
  </si>
  <si>
    <t>488 Jamal Khan Rd</t>
  </si>
  <si>
    <t>228 Jamal Khan Rd</t>
  </si>
  <si>
    <t xml:space="preserve"> Miami</t>
  </si>
  <si>
    <t xml:space="preserve"> FL 33101</t>
  </si>
  <si>
    <t>881 Pine Rd</t>
  </si>
  <si>
    <t xml:space="preserve"> Austin</t>
  </si>
  <si>
    <t xml:space="preserve"> TX 73301</t>
  </si>
  <si>
    <t>112 Oak Ave</t>
  </si>
  <si>
    <t>361 Cedar Ln</t>
  </si>
  <si>
    <t xml:space="preserve"> Orlando</t>
  </si>
  <si>
    <t xml:space="preserve"> FL 32801</t>
  </si>
  <si>
    <t>575 Pine Rd</t>
  </si>
  <si>
    <t>728 Oak Ave</t>
  </si>
  <si>
    <t>49 Oak Ave</t>
  </si>
  <si>
    <t xml:space="preserve"> Boston</t>
  </si>
  <si>
    <t xml:space="preserve"> MA 02108</t>
  </si>
  <si>
    <t>422 5th Avenue</t>
  </si>
  <si>
    <t xml:space="preserve"> Atlanta</t>
  </si>
  <si>
    <t xml:space="preserve"> GA 30301</t>
  </si>
  <si>
    <t>353 Oak Ave</t>
  </si>
  <si>
    <t>265 Jamal Khan Rd</t>
  </si>
  <si>
    <t>924 Hill St</t>
  </si>
  <si>
    <t>475 Sunset Blvd</t>
  </si>
  <si>
    <t xml:space="preserve"> Seattle</t>
  </si>
  <si>
    <t xml:space="preserve"> WA 98101</t>
  </si>
  <si>
    <t>486 5th Avenue</t>
  </si>
  <si>
    <t>555 Lake Dr</t>
  </si>
  <si>
    <t>259 Mirpur Road</t>
  </si>
  <si>
    <t>105 Elm St</t>
  </si>
  <si>
    <t>862 Cedar Ln</t>
  </si>
  <si>
    <t>600 Park Ave</t>
  </si>
  <si>
    <t>255 Pine Rd</t>
  </si>
  <si>
    <t xml:space="preserve"> Denver</t>
  </si>
  <si>
    <t xml:space="preserve"> CO 80202</t>
  </si>
  <si>
    <t>619 5th Avenue</t>
  </si>
  <si>
    <t>491 Hill St</t>
  </si>
  <si>
    <t>895 Hill St</t>
  </si>
  <si>
    <t>871 Oak Ave</t>
  </si>
  <si>
    <t>611 River Rd</t>
  </si>
  <si>
    <t>102 Lake Dr</t>
  </si>
  <si>
    <t>247 Church Rd</t>
  </si>
  <si>
    <t>312 Maple St</t>
  </si>
  <si>
    <t>344 5th Avenue</t>
  </si>
  <si>
    <t>698 5th Avenue</t>
  </si>
  <si>
    <t>148 Lake Dr</t>
  </si>
  <si>
    <t>475 Oak Ave</t>
  </si>
  <si>
    <t xml:space="preserve"> Chattogram</t>
  </si>
  <si>
    <t>421 Lake Dr</t>
  </si>
  <si>
    <t>107 Sunset Blvd</t>
  </si>
  <si>
    <t>529 Cedar Ln</t>
  </si>
  <si>
    <t>589 Park Ave</t>
  </si>
  <si>
    <t>631 Church Rd</t>
  </si>
  <si>
    <t>555 5th Avenue</t>
  </si>
  <si>
    <t>259 Lake Dr</t>
  </si>
  <si>
    <t>515 Church Rd</t>
  </si>
  <si>
    <t xml:space="preserve"> Dallas</t>
  </si>
  <si>
    <t xml:space="preserve"> TX 75201</t>
  </si>
  <si>
    <t>885 Oak Ave</t>
  </si>
  <si>
    <t>391 Elm St</t>
  </si>
  <si>
    <t>327 Hill St</t>
  </si>
  <si>
    <t>907 Mirpur Road</t>
  </si>
  <si>
    <t>550 Lake Dr</t>
  </si>
  <si>
    <t>392 Cedar Ln</t>
  </si>
  <si>
    <t>58 Cedar Ln</t>
  </si>
  <si>
    <t>577 Maple St</t>
  </si>
  <si>
    <t>214 Maple St</t>
  </si>
  <si>
    <t>704 Mirpur Road</t>
  </si>
  <si>
    <t>130 Elm St</t>
  </si>
  <si>
    <t>821 Pine Rd</t>
  </si>
  <si>
    <t>453 Hill St</t>
  </si>
  <si>
    <t>485 Cedar Ln</t>
  </si>
  <si>
    <t>791 Pine Rd</t>
  </si>
  <si>
    <t>422 Sunset Blvd</t>
  </si>
  <si>
    <t xml:space="preserve"> Dhaka</t>
  </si>
  <si>
    <t>150 5th Avenue</t>
  </si>
  <si>
    <t>930 5th Avenue</t>
  </si>
  <si>
    <t>492 Jamal Khan Rd</t>
  </si>
  <si>
    <t>731 Church Rd</t>
  </si>
  <si>
    <t>768 River Rd</t>
  </si>
  <si>
    <t>969 Maple St</t>
  </si>
  <si>
    <t>838 Oak Ave</t>
  </si>
  <si>
    <t>392 Lake Dr</t>
  </si>
  <si>
    <t>129 Park Ave</t>
  </si>
  <si>
    <t>925 Oak Ave</t>
  </si>
  <si>
    <t>699 5th Avenue</t>
  </si>
  <si>
    <t>804 Maple St</t>
  </si>
  <si>
    <t>395 Pine Rd</t>
  </si>
  <si>
    <t>84 Cedar Ln</t>
  </si>
  <si>
    <t>535 Church Rd</t>
  </si>
  <si>
    <t>355 Elm St</t>
  </si>
  <si>
    <t>392 Maple St</t>
  </si>
  <si>
    <t>283 Mirpur Road</t>
  </si>
  <si>
    <t>718 River Rd</t>
  </si>
  <si>
    <t>State</t>
  </si>
  <si>
    <t xml:space="preserve">Zip </t>
  </si>
  <si>
    <t xml:space="preserve"> Dhaka </t>
  </si>
  <si>
    <t xml:space="preserve"> Chattogram </t>
  </si>
  <si>
    <t xml:space="preserve"> Rajshahi </t>
  </si>
  <si>
    <t>Street</t>
  </si>
  <si>
    <t>elizabethmiller@email.com</t>
  </si>
  <si>
    <t>robertdavis@email.com</t>
  </si>
  <si>
    <t>shakibthomas@email.com</t>
  </si>
  <si>
    <t>rumaahmed@email.com</t>
  </si>
  <si>
    <t>williamhossain@email.com</t>
  </si>
  <si>
    <t>danielchowdhury@email.com</t>
  </si>
  <si>
    <t>nusratanderson@email.com</t>
  </si>
  <si>
    <t>mituchowdhury@email.com</t>
  </si>
  <si>
    <t>karenjones@email.com</t>
  </si>
  <si>
    <t>josephalam@email.com</t>
  </si>
  <si>
    <t>shakibwilliams@email.com</t>
  </si>
  <si>
    <t>elizabethlopez@email.com</t>
  </si>
  <si>
    <t>thomastaylor@email.com</t>
  </si>
  <si>
    <t>tanvirdavis@email.com</t>
  </si>
  <si>
    <t>imrananderson@email.com</t>
  </si>
  <si>
    <t>rumajackson@email.com</t>
  </si>
  <si>
    <t>mitukhan@email.com</t>
  </si>
  <si>
    <t>johnhernandez@email.com</t>
  </si>
  <si>
    <t>margarethernandez@email.com</t>
  </si>
  <si>
    <t>sandrasmith@email.com</t>
  </si>
  <si>
    <t>nancymartinez@email.com</t>
  </si>
  <si>
    <t>ashleywilson@email.com</t>
  </si>
  <si>
    <t>sadiaanderson@email.com</t>
  </si>
  <si>
    <t>rumasmith@email.com</t>
  </si>
  <si>
    <t>elizabethwilson@email.com</t>
  </si>
  <si>
    <t>lisarodriguez@email.com</t>
  </si>
  <si>
    <t>karenmartinez@email.com</t>
  </si>
  <si>
    <t>nusratgonzalez@email.com</t>
  </si>
  <si>
    <t>michaelislam@email.com</t>
  </si>
  <si>
    <t>jennifermartin@email.com</t>
  </si>
  <si>
    <t>christopherislam@email.com</t>
  </si>
  <si>
    <t>patriciamiller@email.com</t>
  </si>
  <si>
    <t>rakibdavis@email.com</t>
  </si>
  <si>
    <t>lisamartin@email.com</t>
  </si>
  <si>
    <t>charleslopez@email.com</t>
  </si>
  <si>
    <t>rumamartinez@email.com</t>
  </si>
  <si>
    <t>josephmartin@email.com</t>
  </si>
  <si>
    <t>charlesahmed@email.com</t>
  </si>
  <si>
    <t>karenjohnson@email.com</t>
  </si>
  <si>
    <t>michaelthomas@email.com</t>
  </si>
  <si>
    <t>matthewmartin@email.com</t>
  </si>
  <si>
    <t>bettykhan@email.com</t>
  </si>
  <si>
    <t>sadiachowdhury@email.com</t>
  </si>
  <si>
    <t>williamlopez@email.com</t>
  </si>
  <si>
    <t>michaelalam@email.com</t>
  </si>
  <si>
    <t>nusrattaylor@email.com</t>
  </si>
  <si>
    <t>rakibanderson@email.com</t>
  </si>
  <si>
    <t>charlesrodriguez@email.com</t>
  </si>
  <si>
    <t>bettymartinez@email.com</t>
  </si>
  <si>
    <t>markmartin@email.com</t>
  </si>
  <si>
    <t>nusratalam@email.com</t>
  </si>
  <si>
    <t>jameschowdhury@email.com</t>
  </si>
  <si>
    <t>bettylopez@email.com</t>
  </si>
  <si>
    <t>susankarim@email.com</t>
  </si>
  <si>
    <t>rakibtaylor@email.com</t>
  </si>
  <si>
    <t>kamalwilson@email.com</t>
  </si>
  <si>
    <t>christopherdavis@email.com</t>
  </si>
  <si>
    <t>mituislam@email.com</t>
  </si>
  <si>
    <t>mituahmed@email.com</t>
  </si>
  <si>
    <t>elizabethakter@email.com</t>
  </si>
  <si>
    <t>susananderson@email.com</t>
  </si>
  <si>
    <t>jamessmith@email.com</t>
  </si>
  <si>
    <t>ashleymartinez@email.com</t>
  </si>
  <si>
    <t>matthewwilliams@email.com</t>
  </si>
  <si>
    <t>sadiataylor@email.com</t>
  </si>
  <si>
    <t>lindaahmed@email.com</t>
  </si>
  <si>
    <t>elizabethsmith@email.com</t>
  </si>
  <si>
    <t>susanhasan@email.com</t>
  </si>
  <si>
    <t>nusratahmed@email.com</t>
  </si>
  <si>
    <t>jennifergonzalez@email.com</t>
  </si>
  <si>
    <t>Wireless mouse</t>
  </si>
  <si>
    <t>Usb-C Cable</t>
  </si>
  <si>
    <t>TransactionMode</t>
  </si>
  <si>
    <t>Quantity Range</t>
  </si>
  <si>
    <t>Tax Rate</t>
  </si>
  <si>
    <t>Quantity_Fixed</t>
  </si>
  <si>
    <t>Missing</t>
  </si>
  <si>
    <t>Quantity_Fixed2</t>
  </si>
  <si>
    <t>Revenue</t>
  </si>
  <si>
    <t>Day</t>
  </si>
  <si>
    <t>Month</t>
  </si>
  <si>
    <t>Year</t>
  </si>
  <si>
    <t>Monthend</t>
  </si>
  <si>
    <t>Total Revenue:</t>
  </si>
  <si>
    <t>Rounded Average Unit:</t>
  </si>
  <si>
    <t>Maximum Unit Price:</t>
  </si>
  <si>
    <t>Minimum Unit Price:</t>
  </si>
  <si>
    <t>Emails On File:</t>
  </si>
  <si>
    <t>Valid Quantity: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</si>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</sst>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\ yyyy"/>
    <numFmt numFmtId="169" formatCode="mmm"/>
  </numFmts>
  <fonts count="10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color theme="0"/>
      <name val="Calibri"/>
      <family val="2"/>
      <scheme val="minor"/>
    </font>
    <font>
      <b/>
      <sz val="11"/>
      <color theme="0"/>
      <name val="Arial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theme="0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4" fontId="6" fillId="0" borderId="0" xfId="0" applyNumberFormat="1" applyFont="1"/>
    <xf numFmtId="164" fontId="1" fillId="0" borderId="0" xfId="0" applyNumberFormat="1" applyFont="1"/>
    <xf numFmtId="164" fontId="5" fillId="0" borderId="0" xfId="0" applyNumberFormat="1" applyFont="1"/>
    <xf numFmtId="0" fontId="6" fillId="0" borderId="0" xfId="0" applyNumberFormat="1" applyFont="1"/>
    <xf numFmtId="0" fontId="1" fillId="0" borderId="0" xfId="0" applyNumberFormat="1" applyFont="1"/>
    <xf numFmtId="0" fontId="5" fillId="0" borderId="0" xfId="0" applyNumberFormat="1" applyFont="1"/>
    <xf numFmtId="0" fontId="0" fillId="0" borderId="0" xfId="0" applyNumberFormat="1"/>
    <xf numFmtId="169" fontId="1" fillId="0" borderId="0" xfId="0" applyNumberFormat="1" applyFont="1"/>
    <xf numFmtId="169" fontId="5" fillId="0" borderId="0" xfId="0" applyNumberFormat="1" applyFont="1"/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1" xfId="0" applyFont="1" applyBorder="1"/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9" formatCode="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B16F1-9229-489D-88C6-08A74D42D8B6}" name="Table1" displayName="Table1" ref="A1:T91" totalsRowShown="0" headerRowDxfId="23" dataDxfId="22">
  <autoFilter ref="A1:T91" xr:uid="{66F00A0D-11AA-442D-A09F-13749C9CE3BD}"/>
  <sortState ref="A2:S91">
    <sortCondition ref="A1:A91"/>
  </sortState>
  <tableColumns count="20">
    <tableColumn id="1" xr3:uid="{F2480946-2FAF-47D1-85AE-83080E5A0DA2}" name="TransactionID" dataDxfId="21"/>
    <tableColumn id="2" xr3:uid="{7944EF5C-72D3-4EFC-B7EF-D5DEAB7FD938}" name="Joseph Alam" dataDxfId="20"/>
    <tableColumn id="18" xr3:uid="{7D977DAC-3F59-4C1E-A5FF-9B580FFF3597}" name="Email" dataDxfId="19"/>
    <tableColumn id="4" xr3:uid="{764C41C3-CE52-4287-9C4F-762BFBABAE07}" name="Phone" dataDxfId="18"/>
    <tableColumn id="14" xr3:uid="{550B9425-FFEC-42B1-80A3-2C86566EEEF2}" name="Street" dataDxfId="17"/>
    <tableColumn id="15" xr3:uid="{06D27F6D-78D5-42B8-B28E-6C5309C75BE5}" name="State" dataDxfId="16"/>
    <tableColumn id="13" xr3:uid="{79B0A348-4A63-4F6F-8595-A60D260FDEE3}" name="Zip " dataDxfId="15"/>
    <tableColumn id="21" xr3:uid="{FFA71CD5-E4C1-4815-8F21-5E8777AB5535}" name="Product" dataDxfId="14"/>
    <tableColumn id="7" xr3:uid="{A2F85651-C3A2-4C61-8CDE-F26899BE3F98}" name="Category" dataDxfId="13"/>
    <tableColumn id="8" xr3:uid="{585617E8-AB78-4833-9A84-1D81FB292443}" name="Quantity_Fixed" dataDxfId="12"/>
    <tableColumn id="5" xr3:uid="{FB4CE2AB-5492-4702-9384-67AA5BE14CF8}" name="Quantity Range" dataDxfId="11">
      <calculatedColumnFormula>COUNTA(Table1[[#This Row],[Quantity_Fixed]])</calculatedColumnFormula>
    </tableColumn>
    <tableColumn id="6" xr3:uid="{D92AB07E-752A-4D0A-934E-FB85EE30E4E2}" name="Quantity_Fixed2" dataDxfId="10">
      <calculatedColumnFormula>IF(Table1[[#This Row],[Quantity_Fixed]]="two",2,IF(Table1[[#This Row],[Quantity_Fixed]]="N/A","Missing",Table1[[#This Row],[Quantity_Fixed]]))</calculatedColumnFormula>
    </tableColumn>
    <tableColumn id="9" xr3:uid="{99A17FAE-4995-4F16-8D56-01E5162E6107}" name="UnitPrice" dataDxfId="8"/>
    <tableColumn id="10" xr3:uid="{899F09C1-6D0F-4382-9503-8ED767310475}" name="TransactionDate" dataDxfId="7"/>
    <tableColumn id="17" xr3:uid="{5322576F-7BEE-46EE-87A4-9D7948C3AB5A}" name="Day" dataDxfId="5">
      <calculatedColumnFormula>DAY(Table1[[#This Row],[TransactionDate]])</calculatedColumnFormula>
    </tableColumn>
    <tableColumn id="19" xr3:uid="{8552E4A1-775F-4829-AE61-9AE71B4F7C02}" name="Month" dataDxfId="6">
      <calculatedColumnFormula>MONTH(Table1[[#This Row],[TransactionDate]])</calculatedColumnFormula>
    </tableColumn>
    <tableColumn id="22" xr3:uid="{787308CC-5D7C-417D-B328-FA37C659F89F}" name="Year" dataDxfId="2">
      <calculatedColumnFormula>YEAR(Table1[[#This Row],[TransactionDate]])</calculatedColumnFormula>
    </tableColumn>
    <tableColumn id="23" xr3:uid="{5995BF54-A723-430E-83B7-3371D0268055}" name="Monthend" dataDxfId="0">
      <calculatedColumnFormula>EOMONTH(Table1[[#This Row],[TransactionDate]],0)</calculatedColumnFormula>
    </tableColumn>
    <tableColumn id="11" xr3:uid="{114D9B38-545A-44C6-BFA8-70B101736A64}" name="TransactionMode" dataDxfId="1"/>
    <tableColumn id="12" xr3:uid="{AB6F2CD9-F61E-4D2A-AE2C-7046307A54C6}" name="Revenue" dataDxfId="9">
      <calculatedColumnFormula>IFERROR(Table1[[#This Row],[Quantity_Fixed]]*Table1[[#This Row],[UnitPrice]]*(1+$Y$5),"Check Quantity")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triciamiller@email.com" TargetMode="External"/><Relationship Id="rId21" Type="http://schemas.openxmlformats.org/officeDocument/2006/relationships/hyperlink" Target="mailto:nusratgonzalez@email.com" TargetMode="External"/><Relationship Id="rId42" Type="http://schemas.openxmlformats.org/officeDocument/2006/relationships/hyperlink" Target="mailto:nusrattaylor@email.com" TargetMode="External"/><Relationship Id="rId47" Type="http://schemas.openxmlformats.org/officeDocument/2006/relationships/hyperlink" Target="mailto:bettymartinez@email.com" TargetMode="External"/><Relationship Id="rId63" Type="http://schemas.openxmlformats.org/officeDocument/2006/relationships/hyperlink" Target="mailto:sadiaanderson@email.com" TargetMode="External"/><Relationship Id="rId68" Type="http://schemas.openxmlformats.org/officeDocument/2006/relationships/hyperlink" Target="mailto:susanhasan@email.com" TargetMode="External"/><Relationship Id="rId2" Type="http://schemas.openxmlformats.org/officeDocument/2006/relationships/hyperlink" Target="mailto:josephalam@email.com" TargetMode="External"/><Relationship Id="rId16" Type="http://schemas.openxmlformats.org/officeDocument/2006/relationships/hyperlink" Target="mailto:sadiaanderson@email.com" TargetMode="External"/><Relationship Id="rId29" Type="http://schemas.openxmlformats.org/officeDocument/2006/relationships/hyperlink" Target="mailto:charleslopez@email.com" TargetMode="External"/><Relationship Id="rId11" Type="http://schemas.openxmlformats.org/officeDocument/2006/relationships/hyperlink" Target="mailto:danielchowdhury@email.com" TargetMode="External"/><Relationship Id="rId24" Type="http://schemas.openxmlformats.org/officeDocument/2006/relationships/hyperlink" Target="mailto:christopherislam@email.com" TargetMode="External"/><Relationship Id="rId32" Type="http://schemas.openxmlformats.org/officeDocument/2006/relationships/hyperlink" Target="mailto:charlesahmed@email.com" TargetMode="External"/><Relationship Id="rId37" Type="http://schemas.openxmlformats.org/officeDocument/2006/relationships/hyperlink" Target="mailto:matthewmartin@email.com" TargetMode="External"/><Relationship Id="rId40" Type="http://schemas.openxmlformats.org/officeDocument/2006/relationships/hyperlink" Target="mailto:williamlopez@email.com" TargetMode="External"/><Relationship Id="rId45" Type="http://schemas.openxmlformats.org/officeDocument/2006/relationships/hyperlink" Target="mailto:rakibanderson@email.com" TargetMode="External"/><Relationship Id="rId53" Type="http://schemas.openxmlformats.org/officeDocument/2006/relationships/hyperlink" Target="mailto:rakibtaylor@email.com" TargetMode="External"/><Relationship Id="rId58" Type="http://schemas.openxmlformats.org/officeDocument/2006/relationships/hyperlink" Target="mailto:mituahmed@email.com" TargetMode="External"/><Relationship Id="rId66" Type="http://schemas.openxmlformats.org/officeDocument/2006/relationships/hyperlink" Target="mailto:lindaahmed@email.com" TargetMode="External"/><Relationship Id="rId5" Type="http://schemas.openxmlformats.org/officeDocument/2006/relationships/hyperlink" Target="mailto:thomastaylor@email.com" TargetMode="External"/><Relationship Id="rId61" Type="http://schemas.openxmlformats.org/officeDocument/2006/relationships/hyperlink" Target="mailto:jamessmith@email.com" TargetMode="External"/><Relationship Id="rId19" Type="http://schemas.openxmlformats.org/officeDocument/2006/relationships/hyperlink" Target="mailto:lisarodriguez@email.com" TargetMode="External"/><Relationship Id="rId14" Type="http://schemas.openxmlformats.org/officeDocument/2006/relationships/hyperlink" Target="mailto:nancymartinez@email.com" TargetMode="External"/><Relationship Id="rId22" Type="http://schemas.openxmlformats.org/officeDocument/2006/relationships/hyperlink" Target="mailto:michaelislam@email.com" TargetMode="External"/><Relationship Id="rId27" Type="http://schemas.openxmlformats.org/officeDocument/2006/relationships/hyperlink" Target="mailto:rakibdavis@email.com" TargetMode="External"/><Relationship Id="rId30" Type="http://schemas.openxmlformats.org/officeDocument/2006/relationships/hyperlink" Target="mailto:rumamartinez@email.com" TargetMode="External"/><Relationship Id="rId35" Type="http://schemas.openxmlformats.org/officeDocument/2006/relationships/hyperlink" Target="mailto:michaelthomas@email.com" TargetMode="External"/><Relationship Id="rId43" Type="http://schemas.openxmlformats.org/officeDocument/2006/relationships/hyperlink" Target="mailto:nusrattaylor@email.com" TargetMode="External"/><Relationship Id="rId48" Type="http://schemas.openxmlformats.org/officeDocument/2006/relationships/hyperlink" Target="mailto:markmartin@email.com" TargetMode="External"/><Relationship Id="rId56" Type="http://schemas.openxmlformats.org/officeDocument/2006/relationships/hyperlink" Target="mailto:mituislam@email.com" TargetMode="External"/><Relationship Id="rId64" Type="http://schemas.openxmlformats.org/officeDocument/2006/relationships/hyperlink" Target="mailto:matthewwilliams@email.com" TargetMode="External"/><Relationship Id="rId69" Type="http://schemas.openxmlformats.org/officeDocument/2006/relationships/hyperlink" Target="mailto:nusratahmed@email.com" TargetMode="External"/><Relationship Id="rId8" Type="http://schemas.openxmlformats.org/officeDocument/2006/relationships/hyperlink" Target="mailto:rumajackson@email.com" TargetMode="External"/><Relationship Id="rId51" Type="http://schemas.openxmlformats.org/officeDocument/2006/relationships/hyperlink" Target="mailto:bettylopez@email.com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mailto:shakibwilliams@email.com" TargetMode="External"/><Relationship Id="rId12" Type="http://schemas.openxmlformats.org/officeDocument/2006/relationships/hyperlink" Target="mailto:margarethernandez@email.com" TargetMode="External"/><Relationship Id="rId17" Type="http://schemas.openxmlformats.org/officeDocument/2006/relationships/hyperlink" Target="mailto:rumasmith@email.com" TargetMode="External"/><Relationship Id="rId25" Type="http://schemas.openxmlformats.org/officeDocument/2006/relationships/hyperlink" Target="mailto:christopherislam@email.com" TargetMode="External"/><Relationship Id="rId33" Type="http://schemas.openxmlformats.org/officeDocument/2006/relationships/hyperlink" Target="mailto:charlesahmed@email.com" TargetMode="External"/><Relationship Id="rId38" Type="http://schemas.openxmlformats.org/officeDocument/2006/relationships/hyperlink" Target="mailto:bettykhan@email.com" TargetMode="External"/><Relationship Id="rId46" Type="http://schemas.openxmlformats.org/officeDocument/2006/relationships/hyperlink" Target="mailto:charlesrodriguez@email.com" TargetMode="External"/><Relationship Id="rId59" Type="http://schemas.openxmlformats.org/officeDocument/2006/relationships/hyperlink" Target="mailto:elizabethakter@email.com" TargetMode="External"/><Relationship Id="rId67" Type="http://schemas.openxmlformats.org/officeDocument/2006/relationships/hyperlink" Target="mailto:elizabethsmith@email.com" TargetMode="External"/><Relationship Id="rId20" Type="http://schemas.openxmlformats.org/officeDocument/2006/relationships/hyperlink" Target="mailto:karenmartinez@email.com" TargetMode="External"/><Relationship Id="rId41" Type="http://schemas.openxmlformats.org/officeDocument/2006/relationships/hyperlink" Target="mailto:michaelalam@email.com" TargetMode="External"/><Relationship Id="rId54" Type="http://schemas.openxmlformats.org/officeDocument/2006/relationships/hyperlink" Target="mailto:kamalwilson@email.com" TargetMode="External"/><Relationship Id="rId62" Type="http://schemas.openxmlformats.org/officeDocument/2006/relationships/hyperlink" Target="mailto:ashleymartinez@email.com" TargetMode="External"/><Relationship Id="rId70" Type="http://schemas.openxmlformats.org/officeDocument/2006/relationships/hyperlink" Target="mailto:nusratahmed@email.com" TargetMode="External"/><Relationship Id="rId1" Type="http://schemas.openxmlformats.org/officeDocument/2006/relationships/hyperlink" Target="mailto:karenjones@email.com" TargetMode="External"/><Relationship Id="rId6" Type="http://schemas.openxmlformats.org/officeDocument/2006/relationships/hyperlink" Target="mailto:tanvirdavis@email.com" TargetMode="External"/><Relationship Id="rId15" Type="http://schemas.openxmlformats.org/officeDocument/2006/relationships/hyperlink" Target="mailto:ashleywilson@email.com" TargetMode="External"/><Relationship Id="rId23" Type="http://schemas.openxmlformats.org/officeDocument/2006/relationships/hyperlink" Target="mailto:jennifermartin@email.com" TargetMode="External"/><Relationship Id="rId28" Type="http://schemas.openxmlformats.org/officeDocument/2006/relationships/hyperlink" Target="mailto:lisamartin@email.com" TargetMode="External"/><Relationship Id="rId36" Type="http://schemas.openxmlformats.org/officeDocument/2006/relationships/hyperlink" Target="mailto:michaelthomas@email.com" TargetMode="External"/><Relationship Id="rId49" Type="http://schemas.openxmlformats.org/officeDocument/2006/relationships/hyperlink" Target="mailto:nusratalam@email.com" TargetMode="External"/><Relationship Id="rId57" Type="http://schemas.openxmlformats.org/officeDocument/2006/relationships/hyperlink" Target="mailto:mituahmed@email.com" TargetMode="External"/><Relationship Id="rId10" Type="http://schemas.openxmlformats.org/officeDocument/2006/relationships/hyperlink" Target="mailto:johnhernandez@email.com" TargetMode="External"/><Relationship Id="rId31" Type="http://schemas.openxmlformats.org/officeDocument/2006/relationships/hyperlink" Target="mailto:josephmartin@email.com" TargetMode="External"/><Relationship Id="rId44" Type="http://schemas.openxmlformats.org/officeDocument/2006/relationships/hyperlink" Target="mailto:rakibanderson@email.com" TargetMode="External"/><Relationship Id="rId52" Type="http://schemas.openxmlformats.org/officeDocument/2006/relationships/hyperlink" Target="mailto:susankarim@email.com" TargetMode="External"/><Relationship Id="rId60" Type="http://schemas.openxmlformats.org/officeDocument/2006/relationships/hyperlink" Target="mailto:susananderson@email.com" TargetMode="External"/><Relationship Id="rId65" Type="http://schemas.openxmlformats.org/officeDocument/2006/relationships/hyperlink" Target="mailto:sadiataylor@email.com" TargetMode="External"/><Relationship Id="rId73" Type="http://schemas.openxmlformats.org/officeDocument/2006/relationships/table" Target="../tables/table1.xml"/><Relationship Id="rId4" Type="http://schemas.openxmlformats.org/officeDocument/2006/relationships/hyperlink" Target="mailto:elizabethlopez@email.com" TargetMode="External"/><Relationship Id="rId9" Type="http://schemas.openxmlformats.org/officeDocument/2006/relationships/hyperlink" Target="mailto:mitukhan@email.com" TargetMode="External"/><Relationship Id="rId13" Type="http://schemas.openxmlformats.org/officeDocument/2006/relationships/hyperlink" Target="mailto:sandrasmith@email.com" TargetMode="External"/><Relationship Id="rId18" Type="http://schemas.openxmlformats.org/officeDocument/2006/relationships/hyperlink" Target="mailto:elizabethwilson@email.com" TargetMode="External"/><Relationship Id="rId39" Type="http://schemas.openxmlformats.org/officeDocument/2006/relationships/hyperlink" Target="mailto:sadiachowdhury@email.com" TargetMode="External"/><Relationship Id="rId34" Type="http://schemas.openxmlformats.org/officeDocument/2006/relationships/hyperlink" Target="mailto:karenjohnson@email.com" TargetMode="External"/><Relationship Id="rId50" Type="http://schemas.openxmlformats.org/officeDocument/2006/relationships/hyperlink" Target="mailto:jameschowdhury@email.com" TargetMode="External"/><Relationship Id="rId55" Type="http://schemas.openxmlformats.org/officeDocument/2006/relationships/hyperlink" Target="mailto:christopherdavis@email.com" TargetMode="External"/><Relationship Id="rId7" Type="http://schemas.openxmlformats.org/officeDocument/2006/relationships/hyperlink" Target="mailto:imrananderson@email.com" TargetMode="External"/><Relationship Id="rId71" Type="http://schemas.openxmlformats.org/officeDocument/2006/relationships/hyperlink" Target="mailto:jennifergonzalez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"/>
  <sheetViews>
    <sheetView tabSelected="1" workbookViewId="0">
      <selection activeCell="G98" sqref="G98"/>
    </sheetView>
  </sheetViews>
  <sheetFormatPr defaultRowHeight="14.4" x14ac:dyDescent="0.3"/>
  <cols>
    <col min="1" max="1" width="5.44140625" bestFit="1" customWidth="1"/>
    <col min="2" max="2" width="19.44140625" bestFit="1" customWidth="1"/>
    <col min="3" max="3" width="27.6640625" bestFit="1" customWidth="1"/>
    <col min="4" max="4" width="16.77734375" bestFit="1" customWidth="1"/>
    <col min="5" max="5" width="18.6640625" bestFit="1" customWidth="1"/>
    <col min="6" max="6" width="12.44140625" bestFit="1" customWidth="1"/>
    <col min="7" max="7" width="10.77734375" bestFit="1" customWidth="1"/>
    <col min="8" max="8" width="17.6640625" bestFit="1" customWidth="1"/>
    <col min="9" max="9" width="11.6640625" bestFit="1" customWidth="1"/>
    <col min="10" max="10" width="7.77734375" bestFit="1" customWidth="1"/>
    <col min="11" max="11" width="2.109375" bestFit="1" customWidth="1"/>
    <col min="12" max="12" width="7.77734375" style="7" bestFit="1" customWidth="1"/>
    <col min="13" max="13" width="6.5546875" bestFit="1" customWidth="1"/>
    <col min="14" max="14" width="12.77734375" style="14" bestFit="1" customWidth="1"/>
    <col min="15" max="17" width="9.109375" bestFit="1" customWidth="1"/>
    <col min="18" max="18" width="12.77734375" bestFit="1" customWidth="1"/>
    <col min="19" max="20" width="14.77734375" bestFit="1" customWidth="1"/>
  </cols>
  <sheetData>
    <row r="1" spans="1:25" s="3" customFormat="1" x14ac:dyDescent="0.3">
      <c r="A1" s="2" t="s">
        <v>0</v>
      </c>
      <c r="B1" s="2" t="s">
        <v>58</v>
      </c>
      <c r="C1" s="6" t="s">
        <v>1</v>
      </c>
      <c r="D1" s="2" t="s">
        <v>2</v>
      </c>
      <c r="E1" s="2" t="s">
        <v>301</v>
      </c>
      <c r="F1" s="2" t="s">
        <v>296</v>
      </c>
      <c r="G1" s="2" t="s">
        <v>297</v>
      </c>
      <c r="H1" s="6" t="s">
        <v>3</v>
      </c>
      <c r="I1" s="2" t="s">
        <v>4</v>
      </c>
      <c r="J1" s="2" t="s">
        <v>377</v>
      </c>
      <c r="K1" s="2" t="s">
        <v>375</v>
      </c>
      <c r="L1" s="2" t="s">
        <v>379</v>
      </c>
      <c r="M1" s="2" t="s">
        <v>5</v>
      </c>
      <c r="N1" s="8" t="s">
        <v>6</v>
      </c>
      <c r="O1" s="11" t="s">
        <v>381</v>
      </c>
      <c r="P1" s="11" t="s">
        <v>382</v>
      </c>
      <c r="Q1" s="11" t="s">
        <v>383</v>
      </c>
      <c r="R1" s="8" t="s">
        <v>384</v>
      </c>
      <c r="S1" s="2" t="s">
        <v>374</v>
      </c>
      <c r="T1" s="2" t="s">
        <v>380</v>
      </c>
    </row>
    <row r="2" spans="1:25" x14ac:dyDescent="0.3">
      <c r="A2" s="1">
        <v>1001</v>
      </c>
      <c r="B2" s="1" t="s">
        <v>179</v>
      </c>
      <c r="C2" s="4" t="s">
        <v>98</v>
      </c>
      <c r="D2" s="1" t="s">
        <v>99</v>
      </c>
      <c r="E2" s="1" t="s">
        <v>189</v>
      </c>
      <c r="F2" s="1" t="s">
        <v>190</v>
      </c>
      <c r="G2" s="1" t="s">
        <v>191</v>
      </c>
      <c r="H2" s="5" t="s">
        <v>27</v>
      </c>
      <c r="I2" s="1" t="s">
        <v>28</v>
      </c>
      <c r="J2" s="1">
        <v>1</v>
      </c>
      <c r="K2" s="1">
        <f>COUNTA(Table1[[#This Row],[Quantity_Fixed]])</f>
        <v>1</v>
      </c>
      <c r="L2" s="1">
        <f>IF(Table1[[#This Row],[Quantity_Fixed]]="two",2,IF(Table1[[#This Row],[Quantity_Fixed]]="N/A","Missing",Table1[[#This Row],[Quantity_Fixed]]))</f>
        <v>1</v>
      </c>
      <c r="M2" s="1">
        <v>7.5</v>
      </c>
      <c r="N2" s="9">
        <v>46037</v>
      </c>
      <c r="O2" s="12">
        <f>DAY(Table1[[#This Row],[TransactionDate]])</f>
        <v>15</v>
      </c>
      <c r="P2" s="15">
        <f>MONTH(Table1[[#This Row],[TransactionDate]])</f>
        <v>1</v>
      </c>
      <c r="Q2" s="12">
        <f>YEAR(Table1[[#This Row],[TransactionDate]])</f>
        <v>2026</v>
      </c>
      <c r="R2" s="9">
        <f>EOMONTH(Table1[[#This Row],[TransactionDate]],0)</f>
        <v>46053</v>
      </c>
      <c r="S2" s="1" t="s">
        <v>11</v>
      </c>
      <c r="T2" s="1">
        <f>IFERROR(Table1[[#This Row],[Quantity_Fixed]]*Table1[[#This Row],[UnitPrice]]*(1+$Y$5),"Check Quantity")</f>
        <v>7.875</v>
      </c>
    </row>
    <row r="3" spans="1:25" x14ac:dyDescent="0.3">
      <c r="A3" s="1">
        <v>1002</v>
      </c>
      <c r="B3" s="1" t="s">
        <v>156</v>
      </c>
      <c r="C3" s="4" t="s">
        <v>310</v>
      </c>
      <c r="D3" s="1" t="s">
        <v>74</v>
      </c>
      <c r="E3" s="1" t="s">
        <v>192</v>
      </c>
      <c r="F3" s="1" t="s">
        <v>193</v>
      </c>
      <c r="G3" s="1" t="s">
        <v>194</v>
      </c>
      <c r="H3" s="5" t="s">
        <v>53</v>
      </c>
      <c r="I3" s="1" t="s">
        <v>54</v>
      </c>
      <c r="J3" s="1">
        <v>2</v>
      </c>
      <c r="K3" s="1">
        <f>COUNTA(Table1[[#This Row],[Quantity_Fixed]])</f>
        <v>1</v>
      </c>
      <c r="L3" s="1">
        <f>IF(Table1[[#This Row],[Quantity_Fixed]]="two",2,IF(Table1[[#This Row],[Quantity_Fixed]]="N/A","Missing",Table1[[#This Row],[Quantity_Fixed]]))</f>
        <v>2</v>
      </c>
      <c r="M3" s="1">
        <v>19.989999999999998</v>
      </c>
      <c r="N3" s="9">
        <v>45306</v>
      </c>
      <c r="O3" s="12">
        <f>DAY(Table1[[#This Row],[TransactionDate]])</f>
        <v>15</v>
      </c>
      <c r="P3" s="15">
        <f>MONTH(Table1[[#This Row],[TransactionDate]])</f>
        <v>1</v>
      </c>
      <c r="Q3" s="12">
        <f>YEAR(Table1[[#This Row],[TransactionDate]])</f>
        <v>2024</v>
      </c>
      <c r="R3" s="9">
        <f>EOMONTH(Table1[[#This Row],[TransactionDate]],0)</f>
        <v>45322</v>
      </c>
      <c r="S3" s="1" t="s">
        <v>22</v>
      </c>
      <c r="T3" s="1">
        <f>IFERROR(Table1[[#This Row],[Quantity_Fixed]]*Table1[[#This Row],[UnitPrice]]*(1+$Y$5),"Check Quantity")</f>
        <v>41.978999999999999</v>
      </c>
    </row>
    <row r="4" spans="1:25" x14ac:dyDescent="0.3">
      <c r="A4" s="1">
        <v>1003</v>
      </c>
      <c r="B4" s="1" t="s">
        <v>100</v>
      </c>
      <c r="C4" s="4" t="s">
        <v>311</v>
      </c>
      <c r="D4" s="1" t="s">
        <v>59</v>
      </c>
      <c r="E4" s="1" t="s">
        <v>195</v>
      </c>
      <c r="F4" s="1" t="s">
        <v>193</v>
      </c>
      <c r="G4" s="1" t="s">
        <v>194</v>
      </c>
      <c r="H4" s="5" t="s">
        <v>56</v>
      </c>
      <c r="I4" s="1" t="s">
        <v>57</v>
      </c>
      <c r="J4" s="1">
        <v>4</v>
      </c>
      <c r="K4" s="1">
        <f>COUNTA(Table1[[#This Row],[Quantity_Fixed]])</f>
        <v>1</v>
      </c>
      <c r="L4" s="1">
        <f>IF(Table1[[#This Row],[Quantity_Fixed]]="two",2,IF(Table1[[#This Row],[Quantity_Fixed]]="N/A","Missing",Table1[[#This Row],[Quantity_Fixed]]))</f>
        <v>4</v>
      </c>
      <c r="M4" s="1">
        <v>4.25</v>
      </c>
      <c r="N4" s="9">
        <v>45353</v>
      </c>
      <c r="O4" s="12">
        <f>DAY(Table1[[#This Row],[TransactionDate]])</f>
        <v>2</v>
      </c>
      <c r="P4" s="15">
        <f>MONTH(Table1[[#This Row],[TransactionDate]])</f>
        <v>3</v>
      </c>
      <c r="Q4" s="12">
        <f>YEAR(Table1[[#This Row],[TransactionDate]])</f>
        <v>2024</v>
      </c>
      <c r="R4" s="9">
        <f>EOMONTH(Table1[[#This Row],[TransactionDate]],0)</f>
        <v>45382</v>
      </c>
      <c r="S4" s="1" t="s">
        <v>22</v>
      </c>
      <c r="T4" s="1">
        <f>IFERROR(Table1[[#This Row],[Quantity_Fixed]]*Table1[[#This Row],[UnitPrice]]*(1+$Y$5),"Check Quantity")</f>
        <v>17.850000000000001</v>
      </c>
      <c r="Y4" t="s">
        <v>376</v>
      </c>
    </row>
    <row r="5" spans="1:25" x14ac:dyDescent="0.3">
      <c r="A5" s="1">
        <v>1005</v>
      </c>
      <c r="B5" s="1" t="s">
        <v>157</v>
      </c>
      <c r="C5" s="4" t="s">
        <v>312</v>
      </c>
      <c r="D5" s="1" t="s">
        <v>43</v>
      </c>
      <c r="E5" s="1" t="s">
        <v>198</v>
      </c>
      <c r="F5" s="1" t="s">
        <v>199</v>
      </c>
      <c r="G5" s="1" t="s">
        <v>200</v>
      </c>
      <c r="H5" s="5" t="s">
        <v>9</v>
      </c>
      <c r="I5" s="1" t="s">
        <v>10</v>
      </c>
      <c r="J5" s="1">
        <v>2</v>
      </c>
      <c r="K5" s="1">
        <f>COUNTA(Table1[[#This Row],[Quantity_Fixed]])</f>
        <v>1</v>
      </c>
      <c r="L5" s="1">
        <f>IF(Table1[[#This Row],[Quantity_Fixed]]="two",2,IF(Table1[[#This Row],[Quantity_Fixed]]="N/A","Missing",Table1[[#This Row],[Quantity_Fixed]]))</f>
        <v>2</v>
      </c>
      <c r="M5" s="1">
        <v>22.75</v>
      </c>
      <c r="N5" s="9">
        <v>45325</v>
      </c>
      <c r="O5" s="12">
        <f>DAY(Table1[[#This Row],[TransactionDate]])</f>
        <v>3</v>
      </c>
      <c r="P5" s="15">
        <f>MONTH(Table1[[#This Row],[TransactionDate]])</f>
        <v>2</v>
      </c>
      <c r="Q5" s="12">
        <f>YEAR(Table1[[#This Row],[TransactionDate]])</f>
        <v>2024</v>
      </c>
      <c r="R5" s="9">
        <f>EOMONTH(Table1[[#This Row],[TransactionDate]],0)</f>
        <v>45351</v>
      </c>
      <c r="S5" s="1" t="s">
        <v>14</v>
      </c>
      <c r="T5" s="1">
        <f>IFERROR(Table1[[#This Row],[Quantity_Fixed]]*Table1[[#This Row],[UnitPrice]]*(1+$Y$5),"Check Quantity")</f>
        <v>47.774999999999999</v>
      </c>
      <c r="Y5">
        <v>0.05</v>
      </c>
    </row>
    <row r="6" spans="1:25" x14ac:dyDescent="0.3">
      <c r="A6" s="1">
        <v>1006</v>
      </c>
      <c r="B6" s="1" t="s">
        <v>89</v>
      </c>
      <c r="C6" s="4" t="s">
        <v>313</v>
      </c>
      <c r="D6" s="1" t="s">
        <v>101</v>
      </c>
      <c r="E6" s="1" t="s">
        <v>201</v>
      </c>
      <c r="F6" s="1" t="s">
        <v>196</v>
      </c>
      <c r="G6" s="1" t="s">
        <v>197</v>
      </c>
      <c r="H6" s="5" t="s">
        <v>39</v>
      </c>
      <c r="I6" s="1" t="s">
        <v>40</v>
      </c>
      <c r="J6" s="1">
        <v>3</v>
      </c>
      <c r="K6" s="1">
        <f>COUNTA(Table1[[#This Row],[Quantity_Fixed]])</f>
        <v>1</v>
      </c>
      <c r="L6" s="1">
        <f>IF(Table1[[#This Row],[Quantity_Fixed]]="two",2,IF(Table1[[#This Row],[Quantity_Fixed]]="N/A","Missing",Table1[[#This Row],[Quantity_Fixed]]))</f>
        <v>3</v>
      </c>
      <c r="M6" s="1">
        <v>45</v>
      </c>
      <c r="N6" s="9">
        <v>45373</v>
      </c>
      <c r="O6" s="12">
        <f>DAY(Table1[[#This Row],[TransactionDate]])</f>
        <v>22</v>
      </c>
      <c r="P6" s="15">
        <f>MONTH(Table1[[#This Row],[TransactionDate]])</f>
        <v>3</v>
      </c>
      <c r="Q6" s="12">
        <f>YEAR(Table1[[#This Row],[TransactionDate]])</f>
        <v>2024</v>
      </c>
      <c r="R6" s="9">
        <f>EOMONTH(Table1[[#This Row],[TransactionDate]],0)</f>
        <v>45382</v>
      </c>
      <c r="S6" s="1" t="s">
        <v>68</v>
      </c>
      <c r="T6" s="1">
        <f>IFERROR(Table1[[#This Row],[Quantity_Fixed]]*Table1[[#This Row],[UnitPrice]]*(1+$Y$5),"Check Quantity")</f>
        <v>141.75</v>
      </c>
    </row>
    <row r="7" spans="1:25" x14ac:dyDescent="0.3">
      <c r="A7" s="1">
        <v>1007</v>
      </c>
      <c r="B7" s="1" t="s">
        <v>158</v>
      </c>
      <c r="C7" s="4" t="s">
        <v>314</v>
      </c>
      <c r="D7" s="1"/>
      <c r="E7" s="1" t="s">
        <v>202</v>
      </c>
      <c r="F7" s="1" t="s">
        <v>199</v>
      </c>
      <c r="G7" s="1" t="s">
        <v>200</v>
      </c>
      <c r="H7" s="5" t="s">
        <v>56</v>
      </c>
      <c r="I7" s="1" t="s">
        <v>57</v>
      </c>
      <c r="J7" s="1">
        <v>2</v>
      </c>
      <c r="K7" s="1">
        <f>COUNTA(Table1[[#This Row],[Quantity_Fixed]])</f>
        <v>1</v>
      </c>
      <c r="L7" s="1">
        <f>IF(Table1[[#This Row],[Quantity_Fixed]]="two",2,IF(Table1[[#This Row],[Quantity_Fixed]]="N/A","Missing",Table1[[#This Row],[Quantity_Fixed]]))</f>
        <v>2</v>
      </c>
      <c r="M7" s="1">
        <v>4.25</v>
      </c>
      <c r="N7" s="9">
        <v>45306</v>
      </c>
      <c r="O7" s="12">
        <f>DAY(Table1[[#This Row],[TransactionDate]])</f>
        <v>15</v>
      </c>
      <c r="P7" s="15">
        <f>MONTH(Table1[[#This Row],[TransactionDate]])</f>
        <v>1</v>
      </c>
      <c r="Q7" s="12">
        <f>YEAR(Table1[[#This Row],[TransactionDate]])</f>
        <v>2024</v>
      </c>
      <c r="R7" s="9">
        <f>EOMONTH(Table1[[#This Row],[TransactionDate]],0)</f>
        <v>45322</v>
      </c>
      <c r="S7" s="1" t="s">
        <v>22</v>
      </c>
      <c r="T7" s="1">
        <f>IFERROR(Table1[[#This Row],[Quantity_Fixed]]*Table1[[#This Row],[UnitPrice]]*(1+$Y$5),"Check Quantity")</f>
        <v>8.9250000000000007</v>
      </c>
    </row>
    <row r="8" spans="1:25" x14ac:dyDescent="0.3">
      <c r="A8" s="1">
        <v>1008</v>
      </c>
      <c r="B8" s="1" t="s">
        <v>158</v>
      </c>
      <c r="C8" s="4" t="s">
        <v>315</v>
      </c>
      <c r="D8" s="1" t="s">
        <v>52</v>
      </c>
      <c r="E8" s="1" t="s">
        <v>203</v>
      </c>
      <c r="F8" s="1" t="s">
        <v>193</v>
      </c>
      <c r="G8" s="1" t="s">
        <v>194</v>
      </c>
      <c r="H8" s="5" t="s">
        <v>53</v>
      </c>
      <c r="I8" s="1" t="s">
        <v>54</v>
      </c>
      <c r="J8" s="1">
        <v>2</v>
      </c>
      <c r="K8" s="1">
        <f>COUNTA(Table1[[#This Row],[Quantity_Fixed]])</f>
        <v>1</v>
      </c>
      <c r="L8" s="1">
        <f>IF(Table1[[#This Row],[Quantity_Fixed]]="two",2,IF(Table1[[#This Row],[Quantity_Fixed]]="N/A","Missing",Table1[[#This Row],[Quantity_Fixed]]))</f>
        <v>2</v>
      </c>
      <c r="M8" s="1">
        <v>19.989999999999998</v>
      </c>
      <c r="N8" s="9">
        <v>45306</v>
      </c>
      <c r="O8" s="12">
        <f>DAY(Table1[[#This Row],[TransactionDate]])</f>
        <v>15</v>
      </c>
      <c r="P8" s="15">
        <f>MONTH(Table1[[#This Row],[TransactionDate]])</f>
        <v>1</v>
      </c>
      <c r="Q8" s="12">
        <f>YEAR(Table1[[#This Row],[TransactionDate]])</f>
        <v>2024</v>
      </c>
      <c r="R8" s="9">
        <f>EOMONTH(Table1[[#This Row],[TransactionDate]],0)</f>
        <v>45322</v>
      </c>
      <c r="S8" s="1" t="s">
        <v>14</v>
      </c>
      <c r="T8" s="1">
        <f>IFERROR(Table1[[#This Row],[Quantity_Fixed]]*Table1[[#This Row],[UnitPrice]]*(1+$Y$5),"Check Quantity")</f>
        <v>41.978999999999999</v>
      </c>
    </row>
    <row r="9" spans="1:25" x14ac:dyDescent="0.3">
      <c r="A9" s="1">
        <v>1009</v>
      </c>
      <c r="B9" s="1" t="s">
        <v>180</v>
      </c>
      <c r="C9" s="4" t="s">
        <v>316</v>
      </c>
      <c r="D9" s="1" t="s">
        <v>90</v>
      </c>
      <c r="E9" s="1" t="s">
        <v>204</v>
      </c>
      <c r="F9" s="1" t="s">
        <v>205</v>
      </c>
      <c r="G9" s="1" t="s">
        <v>206</v>
      </c>
      <c r="H9" s="5" t="s">
        <v>372</v>
      </c>
      <c r="I9" s="1" t="s">
        <v>21</v>
      </c>
      <c r="J9" s="1">
        <v>8</v>
      </c>
      <c r="K9" s="1">
        <f>COUNTA(Table1[[#This Row],[Quantity_Fixed]])</f>
        <v>1</v>
      </c>
      <c r="L9" s="1">
        <f>IF(Table1[[#This Row],[Quantity_Fixed]]="two",2,IF(Table1[[#This Row],[Quantity_Fixed]]="N/A","Missing",Table1[[#This Row],[Quantity_Fixed]]))</f>
        <v>8</v>
      </c>
      <c r="M9" s="1">
        <v>15.99</v>
      </c>
      <c r="N9" s="10">
        <v>45373</v>
      </c>
      <c r="O9" s="13">
        <f>DAY(Table1[[#This Row],[TransactionDate]])</f>
        <v>22</v>
      </c>
      <c r="P9" s="16">
        <f>MONTH(Table1[[#This Row],[TransactionDate]])</f>
        <v>3</v>
      </c>
      <c r="Q9" s="13">
        <f>YEAR(Table1[[#This Row],[TransactionDate]])</f>
        <v>2024</v>
      </c>
      <c r="R9" s="10">
        <f>EOMONTH(Table1[[#This Row],[TransactionDate]],0)</f>
        <v>45382</v>
      </c>
      <c r="S9" s="1" t="s">
        <v>64</v>
      </c>
      <c r="T9" s="1">
        <f>IFERROR(Table1[[#This Row],[Quantity_Fixed]]*Table1[[#This Row],[UnitPrice]]*(1+$Y$5),"Check Quantity")</f>
        <v>134.316</v>
      </c>
    </row>
    <row r="10" spans="1:25" x14ac:dyDescent="0.3">
      <c r="A10" s="1">
        <v>1010</v>
      </c>
      <c r="B10" s="1" t="s">
        <v>86</v>
      </c>
      <c r="C10" s="4" t="s">
        <v>302</v>
      </c>
      <c r="D10" s="1" t="s">
        <v>23</v>
      </c>
      <c r="E10" s="1" t="s">
        <v>207</v>
      </c>
      <c r="F10" s="1" t="s">
        <v>208</v>
      </c>
      <c r="G10" s="1" t="s">
        <v>209</v>
      </c>
      <c r="H10" s="5" t="s">
        <v>24</v>
      </c>
      <c r="I10" s="1" t="s">
        <v>21</v>
      </c>
      <c r="J10" s="1">
        <v>2</v>
      </c>
      <c r="K10" s="1">
        <f>COUNTA(Table1[[#This Row],[Quantity_Fixed]])</f>
        <v>1</v>
      </c>
      <c r="L10" s="1">
        <f>IF(Table1[[#This Row],[Quantity_Fixed]]="two",2,IF(Table1[[#This Row],[Quantity_Fixed]]="N/A","Missing",Table1[[#This Row],[Quantity_Fixed]]))</f>
        <v>2</v>
      </c>
      <c r="M10" s="1">
        <v>34.5</v>
      </c>
      <c r="N10" s="9">
        <v>45306</v>
      </c>
      <c r="O10" s="12">
        <f>DAY(Table1[[#This Row],[TransactionDate]])</f>
        <v>15</v>
      </c>
      <c r="P10" s="15">
        <f>MONTH(Table1[[#This Row],[TransactionDate]])</f>
        <v>1</v>
      </c>
      <c r="Q10" s="12">
        <f>YEAR(Table1[[#This Row],[TransactionDate]])</f>
        <v>2024</v>
      </c>
      <c r="R10" s="9">
        <f>EOMONTH(Table1[[#This Row],[TransactionDate]],0)</f>
        <v>45322</v>
      </c>
      <c r="S10" s="1" t="s">
        <v>68</v>
      </c>
      <c r="T10" s="1">
        <f>IFERROR(Table1[[#This Row],[Quantity_Fixed]]*Table1[[#This Row],[UnitPrice]]*(1+$Y$5),"Check Quantity")</f>
        <v>72.45</v>
      </c>
    </row>
    <row r="11" spans="1:25" x14ac:dyDescent="0.3">
      <c r="A11" s="1">
        <v>1011</v>
      </c>
      <c r="B11" s="1" t="s">
        <v>122</v>
      </c>
      <c r="C11" s="4" t="s">
        <v>317</v>
      </c>
      <c r="D11" s="1" t="s">
        <v>151</v>
      </c>
      <c r="E11" s="1" t="s">
        <v>210</v>
      </c>
      <c r="F11" s="1" t="s">
        <v>196</v>
      </c>
      <c r="G11" s="1" t="s">
        <v>197</v>
      </c>
      <c r="H11" s="5" t="s">
        <v>27</v>
      </c>
      <c r="I11" s="1" t="s">
        <v>28</v>
      </c>
      <c r="J11" s="1">
        <v>4</v>
      </c>
      <c r="K11" s="1">
        <f>COUNTA(Table1[[#This Row],[Quantity_Fixed]])</f>
        <v>1</v>
      </c>
      <c r="L11" s="1">
        <f>IF(Table1[[#This Row],[Quantity_Fixed]]="two",2,IF(Table1[[#This Row],[Quantity_Fixed]]="N/A","Missing",Table1[[#This Row],[Quantity_Fixed]]))</f>
        <v>4</v>
      </c>
      <c r="M11" s="1">
        <v>7.5</v>
      </c>
      <c r="N11" s="9">
        <v>45306</v>
      </c>
      <c r="O11" s="12">
        <f>DAY(Table1[[#This Row],[TransactionDate]])</f>
        <v>15</v>
      </c>
      <c r="P11" s="15">
        <f>MONTH(Table1[[#This Row],[TransactionDate]])</f>
        <v>1</v>
      </c>
      <c r="Q11" s="12">
        <f>YEAR(Table1[[#This Row],[TransactionDate]])</f>
        <v>2024</v>
      </c>
      <c r="R11" s="9">
        <f>EOMONTH(Table1[[#This Row],[TransactionDate]],0)</f>
        <v>45322</v>
      </c>
      <c r="S11" s="1" t="s">
        <v>33</v>
      </c>
      <c r="T11" s="1">
        <f>IFERROR(Table1[[#This Row],[Quantity_Fixed]]*Table1[[#This Row],[UnitPrice]]*(1+$Y$5),"Check Quantity")</f>
        <v>31.5</v>
      </c>
    </row>
    <row r="12" spans="1:25" x14ac:dyDescent="0.3">
      <c r="A12" s="1">
        <v>1012</v>
      </c>
      <c r="B12" s="1" t="s">
        <v>159</v>
      </c>
      <c r="C12" s="4" t="s">
        <v>318</v>
      </c>
      <c r="D12" s="1" t="s">
        <v>87</v>
      </c>
      <c r="E12" s="1" t="s">
        <v>211</v>
      </c>
      <c r="F12" s="1" t="s">
        <v>212</v>
      </c>
      <c r="G12" s="1" t="s">
        <v>213</v>
      </c>
      <c r="H12" s="5" t="s">
        <v>20</v>
      </c>
      <c r="I12" s="1" t="s">
        <v>21</v>
      </c>
      <c r="J12" s="1">
        <v>1</v>
      </c>
      <c r="K12" s="1">
        <f>COUNTA(Table1[[#This Row],[Quantity_Fixed]])</f>
        <v>1</v>
      </c>
      <c r="L12" s="1">
        <f>IF(Table1[[#This Row],[Quantity_Fixed]]="two",2,IF(Table1[[#This Row],[Quantity_Fixed]]="N/A","Missing",Table1[[#This Row],[Quantity_Fixed]]))</f>
        <v>1</v>
      </c>
      <c r="M12" s="1">
        <v>41.2</v>
      </c>
      <c r="N12" s="9">
        <v>45325</v>
      </c>
      <c r="O12" s="12">
        <f>DAY(Table1[[#This Row],[TransactionDate]])</f>
        <v>3</v>
      </c>
      <c r="P12" s="15">
        <f>MONTH(Table1[[#This Row],[TransactionDate]])</f>
        <v>2</v>
      </c>
      <c r="Q12" s="12">
        <f>YEAR(Table1[[#This Row],[TransactionDate]])</f>
        <v>2024</v>
      </c>
      <c r="R12" s="9">
        <f>EOMONTH(Table1[[#This Row],[TransactionDate]],0)</f>
        <v>45351</v>
      </c>
      <c r="S12" s="1" t="s">
        <v>11</v>
      </c>
      <c r="T12" s="1">
        <f>IFERROR(Table1[[#This Row],[Quantity_Fixed]]*Table1[[#This Row],[UnitPrice]]*(1+$Y$5),"Check Quantity")</f>
        <v>43.260000000000005</v>
      </c>
    </row>
    <row r="13" spans="1:25" x14ac:dyDescent="0.3">
      <c r="A13" s="1">
        <v>1013</v>
      </c>
      <c r="B13" s="1" t="s">
        <v>181</v>
      </c>
      <c r="C13" s="4" t="s">
        <v>319</v>
      </c>
      <c r="D13" s="1" t="s">
        <v>147</v>
      </c>
      <c r="E13" s="1" t="s">
        <v>214</v>
      </c>
      <c r="F13" s="1" t="s">
        <v>196</v>
      </c>
      <c r="G13" s="1" t="s">
        <v>197</v>
      </c>
      <c r="H13" s="5" t="s">
        <v>32</v>
      </c>
      <c r="I13" s="1" t="s">
        <v>21</v>
      </c>
      <c r="J13" s="1">
        <v>1</v>
      </c>
      <c r="K13" s="1">
        <f>COUNTA(Table1[[#This Row],[Quantity_Fixed]])</f>
        <v>1</v>
      </c>
      <c r="L13" s="1">
        <f>IF(Table1[[#This Row],[Quantity_Fixed]]="two",2,IF(Table1[[#This Row],[Quantity_Fixed]]="N/A","Missing",Table1[[#This Row],[Quantity_Fixed]]))</f>
        <v>1</v>
      </c>
      <c r="M13" s="1">
        <v>15.99</v>
      </c>
      <c r="N13" s="9">
        <v>45306</v>
      </c>
      <c r="O13" s="12">
        <f>DAY(Table1[[#This Row],[TransactionDate]])</f>
        <v>15</v>
      </c>
      <c r="P13" s="15">
        <f>MONTH(Table1[[#This Row],[TransactionDate]])</f>
        <v>1</v>
      </c>
      <c r="Q13" s="12">
        <f>YEAR(Table1[[#This Row],[TransactionDate]])</f>
        <v>2024</v>
      </c>
      <c r="R13" s="9">
        <f>EOMONTH(Table1[[#This Row],[TransactionDate]],0)</f>
        <v>45322</v>
      </c>
      <c r="S13" s="1" t="s">
        <v>22</v>
      </c>
      <c r="T13" s="1">
        <f>IFERROR(Table1[[#This Row],[Quantity_Fixed]]*Table1[[#This Row],[UnitPrice]]*(1+$Y$5),"Check Quantity")</f>
        <v>16.7895</v>
      </c>
    </row>
    <row r="14" spans="1:25" x14ac:dyDescent="0.3">
      <c r="A14" s="1">
        <v>1014</v>
      </c>
      <c r="B14" s="1" t="s">
        <v>48</v>
      </c>
      <c r="C14" s="4" t="s">
        <v>307</v>
      </c>
      <c r="D14" s="1" t="s">
        <v>62</v>
      </c>
      <c r="E14" s="1" t="s">
        <v>215</v>
      </c>
      <c r="F14" s="1" t="s">
        <v>298</v>
      </c>
      <c r="G14" s="1">
        <v>1000</v>
      </c>
      <c r="H14" s="5" t="s">
        <v>32</v>
      </c>
      <c r="I14" s="1" t="s">
        <v>21</v>
      </c>
      <c r="J14" s="1">
        <v>8</v>
      </c>
      <c r="K14" s="1">
        <f>COUNTA(Table1[[#This Row],[Quantity_Fixed]])</f>
        <v>1</v>
      </c>
      <c r="L14" s="1">
        <f>IF(Table1[[#This Row],[Quantity_Fixed]]="two",2,IF(Table1[[#This Row],[Quantity_Fixed]]="N/A","Missing",Table1[[#This Row],[Quantity_Fixed]]))</f>
        <v>8</v>
      </c>
      <c r="M14" s="1">
        <v>15.99</v>
      </c>
      <c r="N14" s="9">
        <v>45306</v>
      </c>
      <c r="O14" s="12">
        <f>DAY(Table1[[#This Row],[TransactionDate]])</f>
        <v>15</v>
      </c>
      <c r="P14" s="15">
        <f>MONTH(Table1[[#This Row],[TransactionDate]])</f>
        <v>1</v>
      </c>
      <c r="Q14" s="12">
        <f>YEAR(Table1[[#This Row],[TransactionDate]])</f>
        <v>2024</v>
      </c>
      <c r="R14" s="9">
        <f>EOMONTH(Table1[[#This Row],[TransactionDate]],0)</f>
        <v>45322</v>
      </c>
      <c r="S14" s="1" t="s">
        <v>14</v>
      </c>
      <c r="T14" s="1">
        <f>IFERROR(Table1[[#This Row],[Quantity_Fixed]]*Table1[[#This Row],[UnitPrice]]*(1+$Y$5),"Check Quantity")</f>
        <v>134.316</v>
      </c>
    </row>
    <row r="15" spans="1:25" x14ac:dyDescent="0.3">
      <c r="A15" s="1">
        <v>1015</v>
      </c>
      <c r="B15" s="1" t="s">
        <v>152</v>
      </c>
      <c r="C15" s="4" t="s">
        <v>320</v>
      </c>
      <c r="D15" s="1" t="s">
        <v>44</v>
      </c>
      <c r="E15" s="1" t="s">
        <v>216</v>
      </c>
      <c r="F15" s="1" t="s">
        <v>217</v>
      </c>
      <c r="G15" s="1" t="s">
        <v>218</v>
      </c>
      <c r="H15" s="5" t="s">
        <v>373</v>
      </c>
      <c r="I15" s="1" t="s">
        <v>21</v>
      </c>
      <c r="J15" s="1">
        <v>2</v>
      </c>
      <c r="K15" s="1">
        <f>COUNTA(Table1[[#This Row],[Quantity_Fixed]])</f>
        <v>1</v>
      </c>
      <c r="L15" s="1">
        <f>IF(Table1[[#This Row],[Quantity_Fixed]]="two",2,IF(Table1[[#This Row],[Quantity_Fixed]]="N/A","Missing",Table1[[#This Row],[Quantity_Fixed]]))</f>
        <v>2</v>
      </c>
      <c r="M15" s="1">
        <v>8.99</v>
      </c>
      <c r="N15" s="9">
        <v>45373</v>
      </c>
      <c r="O15" s="12">
        <f>DAY(Table1[[#This Row],[TransactionDate]])</f>
        <v>22</v>
      </c>
      <c r="P15" s="15">
        <f>MONTH(Table1[[#This Row],[TransactionDate]])</f>
        <v>3</v>
      </c>
      <c r="Q15" s="12">
        <f>YEAR(Table1[[#This Row],[TransactionDate]])</f>
        <v>2024</v>
      </c>
      <c r="R15" s="9">
        <f>EOMONTH(Table1[[#This Row],[TransactionDate]],0)</f>
        <v>45382</v>
      </c>
      <c r="S15" s="1" t="s">
        <v>11</v>
      </c>
      <c r="T15" s="1">
        <f>IFERROR(Table1[[#This Row],[Quantity_Fixed]]*Table1[[#This Row],[UnitPrice]]*(1+$Y$5),"Check Quantity")</f>
        <v>18.879000000000001</v>
      </c>
    </row>
    <row r="16" spans="1:25" x14ac:dyDescent="0.3">
      <c r="A16" s="1">
        <v>1016</v>
      </c>
      <c r="B16" s="1" t="s">
        <v>50</v>
      </c>
      <c r="C16" s="4" t="s">
        <v>321</v>
      </c>
      <c r="D16" s="1" t="s">
        <v>41</v>
      </c>
      <c r="E16" s="1" t="s">
        <v>219</v>
      </c>
      <c r="F16" s="1" t="s">
        <v>220</v>
      </c>
      <c r="G16" s="1" t="s">
        <v>221</v>
      </c>
      <c r="H16" s="5" t="s">
        <v>42</v>
      </c>
      <c r="I16" s="1" t="s">
        <v>10</v>
      </c>
      <c r="J16" s="1" t="s">
        <v>378</v>
      </c>
      <c r="K16" s="1">
        <f>COUNTA(Table1[[#This Row],[Quantity_Fixed]])</f>
        <v>1</v>
      </c>
      <c r="L16" s="1" t="str">
        <f>IF(Table1[[#This Row],[Quantity_Fixed]]="two",2,IF(Table1[[#This Row],[Quantity_Fixed]]="N/A","Missing",Table1[[#This Row],[Quantity_Fixed]]))</f>
        <v>Missing</v>
      </c>
      <c r="M16" s="1">
        <v>129</v>
      </c>
      <c r="N16" s="9">
        <v>45325</v>
      </c>
      <c r="O16" s="12">
        <f>DAY(Table1[[#This Row],[TransactionDate]])</f>
        <v>3</v>
      </c>
      <c r="P16" s="15">
        <f>MONTH(Table1[[#This Row],[TransactionDate]])</f>
        <v>2</v>
      </c>
      <c r="Q16" s="12">
        <f>YEAR(Table1[[#This Row],[TransactionDate]])</f>
        <v>2024</v>
      </c>
      <c r="R16" s="9">
        <f>EOMONTH(Table1[[#This Row],[TransactionDate]],0)</f>
        <v>45351</v>
      </c>
      <c r="S16" s="1" t="s">
        <v>11</v>
      </c>
      <c r="T16" s="1" t="str">
        <f>IFERROR(Table1[[#This Row],[Quantity_Fixed]]*Table1[[#This Row],[UnitPrice]]*(1+$Y$5),"Check Quantity")</f>
        <v>Check Quantity</v>
      </c>
    </row>
    <row r="17" spans="1:20" x14ac:dyDescent="0.3">
      <c r="A17" s="1">
        <v>1017</v>
      </c>
      <c r="B17" s="1" t="s">
        <v>50</v>
      </c>
      <c r="C17" s="4" t="s">
        <v>322</v>
      </c>
      <c r="D17" s="1" t="s">
        <v>49</v>
      </c>
      <c r="E17" s="1" t="s">
        <v>222</v>
      </c>
      <c r="F17" s="1" t="s">
        <v>196</v>
      </c>
      <c r="G17" s="1" t="s">
        <v>197</v>
      </c>
      <c r="H17" s="5" t="s">
        <v>36</v>
      </c>
      <c r="I17" s="1" t="s">
        <v>21</v>
      </c>
      <c r="J17" s="1">
        <v>3</v>
      </c>
      <c r="K17" s="1">
        <f>COUNTA(Table1[[#This Row],[Quantity_Fixed]])</f>
        <v>1</v>
      </c>
      <c r="L17" s="1">
        <f>IF(Table1[[#This Row],[Quantity_Fixed]]="two",2,IF(Table1[[#This Row],[Quantity_Fixed]]="N/A","Missing",Table1[[#This Row],[Quantity_Fixed]]))</f>
        <v>3</v>
      </c>
      <c r="M17" s="1">
        <v>59.99</v>
      </c>
      <c r="N17" s="9">
        <v>45306</v>
      </c>
      <c r="O17" s="12">
        <f>DAY(Table1[[#This Row],[TransactionDate]])</f>
        <v>15</v>
      </c>
      <c r="P17" s="15">
        <f>MONTH(Table1[[#This Row],[TransactionDate]])</f>
        <v>1</v>
      </c>
      <c r="Q17" s="12">
        <f>YEAR(Table1[[#This Row],[TransactionDate]])</f>
        <v>2024</v>
      </c>
      <c r="R17" s="9">
        <f>EOMONTH(Table1[[#This Row],[TransactionDate]],0)</f>
        <v>45322</v>
      </c>
      <c r="S17" s="1" t="s">
        <v>22</v>
      </c>
      <c r="T17" s="1">
        <f>IFERROR(Table1[[#This Row],[Quantity_Fixed]]*Table1[[#This Row],[UnitPrice]]*(1+$Y$5),"Check Quantity")</f>
        <v>188.96850000000001</v>
      </c>
    </row>
    <row r="18" spans="1:20" x14ac:dyDescent="0.3">
      <c r="A18" s="1">
        <v>1018</v>
      </c>
      <c r="B18" s="1" t="s">
        <v>97</v>
      </c>
      <c r="C18" s="4" t="s">
        <v>323</v>
      </c>
      <c r="D18" s="1" t="s">
        <v>153</v>
      </c>
      <c r="E18" s="1" t="s">
        <v>223</v>
      </c>
      <c r="F18" s="1" t="s">
        <v>190</v>
      </c>
      <c r="G18" s="1" t="s">
        <v>191</v>
      </c>
      <c r="H18" s="5" t="s">
        <v>42</v>
      </c>
      <c r="I18" s="1" t="s">
        <v>10</v>
      </c>
      <c r="J18" s="1">
        <v>6</v>
      </c>
      <c r="K18" s="1">
        <f>COUNTA(Table1[[#This Row],[Quantity_Fixed]])</f>
        <v>1</v>
      </c>
      <c r="L18" s="1">
        <f>IF(Table1[[#This Row],[Quantity_Fixed]]="two",2,IF(Table1[[#This Row],[Quantity_Fixed]]="N/A","Missing",Table1[[#This Row],[Quantity_Fixed]]))</f>
        <v>6</v>
      </c>
      <c r="M18" s="1">
        <v>129</v>
      </c>
      <c r="N18" s="9">
        <v>45373</v>
      </c>
      <c r="O18" s="12">
        <f>DAY(Table1[[#This Row],[TransactionDate]])</f>
        <v>22</v>
      </c>
      <c r="P18" s="15">
        <f>MONTH(Table1[[#This Row],[TransactionDate]])</f>
        <v>3</v>
      </c>
      <c r="Q18" s="12">
        <f>YEAR(Table1[[#This Row],[TransactionDate]])</f>
        <v>2024</v>
      </c>
      <c r="R18" s="9">
        <f>EOMONTH(Table1[[#This Row],[TransactionDate]],0)</f>
        <v>45382</v>
      </c>
      <c r="S18" s="1" t="s">
        <v>68</v>
      </c>
      <c r="T18" s="1">
        <f>IFERROR(Table1[[#This Row],[Quantity_Fixed]]*Table1[[#This Row],[UnitPrice]]*(1+$Y$5),"Check Quantity")</f>
        <v>812.7</v>
      </c>
    </row>
    <row r="19" spans="1:20" x14ac:dyDescent="0.3">
      <c r="A19" s="1">
        <v>1019</v>
      </c>
      <c r="B19" s="1" t="s">
        <v>182</v>
      </c>
      <c r="C19" s="4" t="s">
        <v>324</v>
      </c>
      <c r="D19" s="1" t="s">
        <v>51</v>
      </c>
      <c r="E19" s="1" t="s">
        <v>224</v>
      </c>
      <c r="F19" s="1" t="s">
        <v>220</v>
      </c>
      <c r="G19" s="1" t="s">
        <v>221</v>
      </c>
      <c r="H19" s="5" t="s">
        <v>42</v>
      </c>
      <c r="I19" s="1" t="s">
        <v>10</v>
      </c>
      <c r="J19" s="1">
        <v>2</v>
      </c>
      <c r="K19" s="1">
        <f>COUNTA(Table1[[#This Row],[Quantity_Fixed]])</f>
        <v>1</v>
      </c>
      <c r="L19" s="1">
        <f>IF(Table1[[#This Row],[Quantity_Fixed]]="two",2,IF(Table1[[#This Row],[Quantity_Fixed]]="N/A","Missing",Table1[[#This Row],[Quantity_Fixed]]))</f>
        <v>2</v>
      </c>
      <c r="M19" s="1">
        <v>129</v>
      </c>
      <c r="N19" s="9">
        <v>45353</v>
      </c>
      <c r="O19" s="12">
        <f>DAY(Table1[[#This Row],[TransactionDate]])</f>
        <v>2</v>
      </c>
      <c r="P19" s="15">
        <f>MONTH(Table1[[#This Row],[TransactionDate]])</f>
        <v>3</v>
      </c>
      <c r="Q19" s="12">
        <f>YEAR(Table1[[#This Row],[TransactionDate]])</f>
        <v>2024</v>
      </c>
      <c r="R19" s="9">
        <f>EOMONTH(Table1[[#This Row],[TransactionDate]],0)</f>
        <v>45382</v>
      </c>
      <c r="S19" s="1" t="s">
        <v>68</v>
      </c>
      <c r="T19" s="1">
        <f>IFERROR(Table1[[#This Row],[Quantity_Fixed]]*Table1[[#This Row],[UnitPrice]]*(1+$Y$5),"Check Quantity")</f>
        <v>270.90000000000003</v>
      </c>
    </row>
    <row r="20" spans="1:20" x14ac:dyDescent="0.3">
      <c r="A20" s="1">
        <v>1021</v>
      </c>
      <c r="B20" s="1" t="s">
        <v>160</v>
      </c>
      <c r="C20" s="1"/>
      <c r="D20" s="1" t="s">
        <v>104</v>
      </c>
      <c r="E20" s="1" t="s">
        <v>225</v>
      </c>
      <c r="F20" s="1" t="s">
        <v>226</v>
      </c>
      <c r="G20" s="1" t="s">
        <v>227</v>
      </c>
      <c r="H20" s="5" t="s">
        <v>96</v>
      </c>
      <c r="I20" s="1" t="s">
        <v>10</v>
      </c>
      <c r="J20" s="1">
        <v>5</v>
      </c>
      <c r="K20" s="1">
        <f>COUNTA(Table1[[#This Row],[Quantity_Fixed]])</f>
        <v>1</v>
      </c>
      <c r="L20" s="1">
        <f>IF(Table1[[#This Row],[Quantity_Fixed]]="two",2,IF(Table1[[#This Row],[Quantity_Fixed]]="N/A","Missing",Table1[[#This Row],[Quantity_Fixed]]))</f>
        <v>5</v>
      </c>
      <c r="M20" s="1">
        <v>33</v>
      </c>
      <c r="N20" s="9" t="s">
        <v>29</v>
      </c>
      <c r="O20" s="12" t="e">
        <f>DAY(Table1[[#This Row],[TransactionDate]])</f>
        <v>#VALUE!</v>
      </c>
      <c r="P20" s="15" t="e">
        <f>MONTH(Table1[[#This Row],[TransactionDate]])</f>
        <v>#VALUE!</v>
      </c>
      <c r="Q20" s="12" t="e">
        <f>YEAR(Table1[[#This Row],[TransactionDate]])</f>
        <v>#VALUE!</v>
      </c>
      <c r="R20" s="9" t="e">
        <f>EOMONTH(Table1[[#This Row],[TransactionDate]],0)</f>
        <v>#VALUE!</v>
      </c>
      <c r="S20" s="1" t="s">
        <v>11</v>
      </c>
      <c r="T20" s="1">
        <f>IFERROR(Table1[[#This Row],[Quantity_Fixed]]*Table1[[#This Row],[UnitPrice]]*(1+$Y$5),"Check Quantity")</f>
        <v>173.25</v>
      </c>
    </row>
    <row r="21" spans="1:20" x14ac:dyDescent="0.3">
      <c r="A21" s="1">
        <v>1021</v>
      </c>
      <c r="B21" s="1" t="s">
        <v>124</v>
      </c>
      <c r="C21" s="1"/>
      <c r="D21" s="1" t="s">
        <v>104</v>
      </c>
      <c r="E21" s="1" t="s">
        <v>225</v>
      </c>
      <c r="F21" s="1" t="s">
        <v>226</v>
      </c>
      <c r="G21" s="1" t="s">
        <v>227</v>
      </c>
      <c r="H21" s="5" t="s">
        <v>96</v>
      </c>
      <c r="I21" s="1" t="s">
        <v>10</v>
      </c>
      <c r="J21" s="1">
        <v>5</v>
      </c>
      <c r="K21" s="1">
        <f>COUNTA(Table1[[#This Row],[Quantity_Fixed]])</f>
        <v>1</v>
      </c>
      <c r="L21" s="1">
        <f>IF(Table1[[#This Row],[Quantity_Fixed]]="two",2,IF(Table1[[#This Row],[Quantity_Fixed]]="N/A","Missing",Table1[[#This Row],[Quantity_Fixed]]))</f>
        <v>5</v>
      </c>
      <c r="M21" s="1">
        <v>33</v>
      </c>
      <c r="N21" s="9" t="s">
        <v>29</v>
      </c>
      <c r="O21" s="12" t="e">
        <f>DAY(Table1[[#This Row],[TransactionDate]])</f>
        <v>#VALUE!</v>
      </c>
      <c r="P21" s="15" t="e">
        <f>MONTH(Table1[[#This Row],[TransactionDate]])</f>
        <v>#VALUE!</v>
      </c>
      <c r="Q21" s="12" t="e">
        <f>YEAR(Table1[[#This Row],[TransactionDate]])</f>
        <v>#VALUE!</v>
      </c>
      <c r="R21" s="9" t="e">
        <f>EOMONTH(Table1[[#This Row],[TransactionDate]],0)</f>
        <v>#VALUE!</v>
      </c>
      <c r="S21" s="1" t="s">
        <v>11</v>
      </c>
      <c r="T21" s="1">
        <f>IFERROR(Table1[[#This Row],[Quantity_Fixed]]*Table1[[#This Row],[UnitPrice]]*(1+$Y$5),"Check Quantity")</f>
        <v>173.25</v>
      </c>
    </row>
    <row r="22" spans="1:20" x14ac:dyDescent="0.3">
      <c r="A22" s="1">
        <v>1022</v>
      </c>
      <c r="B22" s="1" t="s">
        <v>65</v>
      </c>
      <c r="C22" s="1"/>
      <c r="D22" s="1" t="s">
        <v>45</v>
      </c>
      <c r="E22" s="1" t="s">
        <v>228</v>
      </c>
      <c r="F22" s="1" t="s">
        <v>226</v>
      </c>
      <c r="G22" s="1" t="s">
        <v>227</v>
      </c>
      <c r="H22" s="5" t="s">
        <v>373</v>
      </c>
      <c r="I22" s="1" t="s">
        <v>21</v>
      </c>
      <c r="J22" s="1" t="s">
        <v>378</v>
      </c>
      <c r="K22" s="1">
        <f>COUNTA(Table1[[#This Row],[Quantity_Fixed]])</f>
        <v>1</v>
      </c>
      <c r="L22" s="1" t="str">
        <f>IF(Table1[[#This Row],[Quantity_Fixed]]="two",2,IF(Table1[[#This Row],[Quantity_Fixed]]="N/A","Missing",Table1[[#This Row],[Quantity_Fixed]]))</f>
        <v>Missing</v>
      </c>
      <c r="M22" s="1">
        <v>8.99</v>
      </c>
      <c r="N22" s="9">
        <v>45306</v>
      </c>
      <c r="O22" s="12">
        <f>DAY(Table1[[#This Row],[TransactionDate]])</f>
        <v>15</v>
      </c>
      <c r="P22" s="15">
        <f>MONTH(Table1[[#This Row],[TransactionDate]])</f>
        <v>1</v>
      </c>
      <c r="Q22" s="12">
        <f>YEAR(Table1[[#This Row],[TransactionDate]])</f>
        <v>2024</v>
      </c>
      <c r="R22" s="9">
        <f>EOMONTH(Table1[[#This Row],[TransactionDate]],0)</f>
        <v>45322</v>
      </c>
      <c r="S22" s="1" t="s">
        <v>22</v>
      </c>
      <c r="T22" s="1" t="str">
        <f>IFERROR(Table1[[#This Row],[Quantity_Fixed]]*Table1[[#This Row],[UnitPrice]]*(1+$Y$5),"Check Quantity")</f>
        <v>Check Quantity</v>
      </c>
    </row>
    <row r="23" spans="1:20" x14ac:dyDescent="0.3">
      <c r="A23" s="1">
        <v>1023</v>
      </c>
      <c r="B23" s="1" t="s">
        <v>161</v>
      </c>
      <c r="C23" s="4" t="s">
        <v>325</v>
      </c>
      <c r="D23" s="1" t="s">
        <v>72</v>
      </c>
      <c r="E23" s="1" t="s">
        <v>229</v>
      </c>
      <c r="F23" s="1" t="s">
        <v>220</v>
      </c>
      <c r="G23" s="1" t="s">
        <v>221</v>
      </c>
      <c r="H23" s="5" t="s">
        <v>24</v>
      </c>
      <c r="I23" s="1" t="s">
        <v>21</v>
      </c>
      <c r="J23" s="1">
        <v>8</v>
      </c>
      <c r="K23" s="1">
        <f>COUNTA(Table1[[#This Row],[Quantity_Fixed]])</f>
        <v>1</v>
      </c>
      <c r="L23" s="1">
        <f>IF(Table1[[#This Row],[Quantity_Fixed]]="two",2,IF(Table1[[#This Row],[Quantity_Fixed]]="N/A","Missing",Table1[[#This Row],[Quantity_Fixed]]))</f>
        <v>8</v>
      </c>
      <c r="M23" s="1">
        <v>34.5</v>
      </c>
      <c r="N23" s="9">
        <v>45353</v>
      </c>
      <c r="O23" s="12">
        <f>DAY(Table1[[#This Row],[TransactionDate]])</f>
        <v>2</v>
      </c>
      <c r="P23" s="15">
        <f>MONTH(Table1[[#This Row],[TransactionDate]])</f>
        <v>3</v>
      </c>
      <c r="Q23" s="12">
        <f>YEAR(Table1[[#This Row],[TransactionDate]])</f>
        <v>2024</v>
      </c>
      <c r="R23" s="9">
        <f>EOMONTH(Table1[[#This Row],[TransactionDate]],0)</f>
        <v>45382</v>
      </c>
      <c r="S23" s="1" t="s">
        <v>64</v>
      </c>
      <c r="T23" s="1">
        <f>IFERROR(Table1[[#This Row],[Quantity_Fixed]]*Table1[[#This Row],[UnitPrice]]*(1+$Y$5),"Check Quantity")</f>
        <v>289.8</v>
      </c>
    </row>
    <row r="24" spans="1:20" x14ac:dyDescent="0.3">
      <c r="A24" s="1">
        <v>1024</v>
      </c>
      <c r="B24" s="1" t="s">
        <v>76</v>
      </c>
      <c r="C24" s="4" t="s">
        <v>326</v>
      </c>
      <c r="D24" s="1" t="s">
        <v>125</v>
      </c>
      <c r="E24" s="1" t="s">
        <v>230</v>
      </c>
      <c r="F24" s="1" t="s">
        <v>205</v>
      </c>
      <c r="G24" s="1" t="s">
        <v>206</v>
      </c>
      <c r="H24" s="5" t="s">
        <v>17</v>
      </c>
      <c r="I24" s="1" t="s">
        <v>18</v>
      </c>
      <c r="J24" s="1">
        <v>6</v>
      </c>
      <c r="K24" s="1">
        <f>COUNTA(Table1[[#This Row],[Quantity_Fixed]])</f>
        <v>1</v>
      </c>
      <c r="L24" s="1">
        <f>IF(Table1[[#This Row],[Quantity_Fixed]]="two",2,IF(Table1[[#This Row],[Quantity_Fixed]]="N/A","Missing",Table1[[#This Row],[Quantity_Fixed]]))</f>
        <v>6</v>
      </c>
      <c r="M24" s="1">
        <v>68</v>
      </c>
      <c r="N24" s="9">
        <v>45306</v>
      </c>
      <c r="O24" s="12">
        <f>DAY(Table1[[#This Row],[TransactionDate]])</f>
        <v>15</v>
      </c>
      <c r="P24" s="15">
        <f>MONTH(Table1[[#This Row],[TransactionDate]])</f>
        <v>1</v>
      </c>
      <c r="Q24" s="12">
        <f>YEAR(Table1[[#This Row],[TransactionDate]])</f>
        <v>2024</v>
      </c>
      <c r="R24" s="9">
        <f>EOMONTH(Table1[[#This Row],[TransactionDate]],0)</f>
        <v>45322</v>
      </c>
      <c r="S24" s="1" t="s">
        <v>33</v>
      </c>
      <c r="T24" s="1">
        <f>IFERROR(Table1[[#This Row],[Quantity_Fixed]]*Table1[[#This Row],[UnitPrice]]*(1+$Y$5),"Check Quantity")</f>
        <v>428.40000000000003</v>
      </c>
    </row>
    <row r="25" spans="1:20" x14ac:dyDescent="0.3">
      <c r="A25" s="1">
        <v>1025</v>
      </c>
      <c r="B25" s="1" t="s">
        <v>162</v>
      </c>
      <c r="C25" s="4" t="s">
        <v>327</v>
      </c>
      <c r="D25" s="1" t="s">
        <v>115</v>
      </c>
      <c r="E25" s="1" t="s">
        <v>231</v>
      </c>
      <c r="F25" s="1" t="s">
        <v>199</v>
      </c>
      <c r="G25" s="1" t="s">
        <v>200</v>
      </c>
      <c r="H25" s="5" t="s">
        <v>106</v>
      </c>
      <c r="I25" s="1" t="s">
        <v>10</v>
      </c>
      <c r="J25" s="1">
        <v>6</v>
      </c>
      <c r="K25" s="1">
        <f>COUNTA(Table1[[#This Row],[Quantity_Fixed]])</f>
        <v>1</v>
      </c>
      <c r="L25" s="1">
        <f>IF(Table1[[#This Row],[Quantity_Fixed]]="two",2,IF(Table1[[#This Row],[Quantity_Fixed]]="N/A","Missing",Table1[[#This Row],[Quantity_Fixed]]))</f>
        <v>6</v>
      </c>
      <c r="M25" s="1">
        <v>27.3</v>
      </c>
      <c r="N25" s="10">
        <v>45373</v>
      </c>
      <c r="O25" s="13">
        <f>DAY(Table1[[#This Row],[TransactionDate]])</f>
        <v>22</v>
      </c>
      <c r="P25" s="16">
        <f>MONTH(Table1[[#This Row],[TransactionDate]])</f>
        <v>3</v>
      </c>
      <c r="Q25" s="13">
        <f>YEAR(Table1[[#This Row],[TransactionDate]])</f>
        <v>2024</v>
      </c>
      <c r="R25" s="10">
        <f>EOMONTH(Table1[[#This Row],[TransactionDate]],0)</f>
        <v>45382</v>
      </c>
      <c r="S25" s="1" t="s">
        <v>64</v>
      </c>
      <c r="T25" s="1">
        <f>IFERROR(Table1[[#This Row],[Quantity_Fixed]]*Table1[[#This Row],[UnitPrice]]*(1+$Y$5),"Check Quantity")</f>
        <v>171.99</v>
      </c>
    </row>
    <row r="26" spans="1:20" x14ac:dyDescent="0.3">
      <c r="A26" s="1">
        <v>1026</v>
      </c>
      <c r="B26" s="1" t="s">
        <v>94</v>
      </c>
      <c r="C26" s="4" t="s">
        <v>328</v>
      </c>
      <c r="D26" s="1" t="s">
        <v>67</v>
      </c>
      <c r="E26" s="1" t="s">
        <v>232</v>
      </c>
      <c r="F26" s="1" t="s">
        <v>208</v>
      </c>
      <c r="G26" s="1" t="s">
        <v>209</v>
      </c>
      <c r="H26" s="5" t="s">
        <v>373</v>
      </c>
      <c r="I26" s="1" t="s">
        <v>21</v>
      </c>
      <c r="J26" s="1">
        <v>5</v>
      </c>
      <c r="K26" s="1">
        <f>COUNTA(Table1[[#This Row],[Quantity_Fixed]])</f>
        <v>1</v>
      </c>
      <c r="L26" s="1">
        <f>IF(Table1[[#This Row],[Quantity_Fixed]]="two",2,IF(Table1[[#This Row],[Quantity_Fixed]]="N/A","Missing",Table1[[#This Row],[Quantity_Fixed]]))</f>
        <v>5</v>
      </c>
      <c r="M26" s="1">
        <v>8.99</v>
      </c>
      <c r="N26" s="9">
        <v>45306</v>
      </c>
      <c r="O26" s="12">
        <f>DAY(Table1[[#This Row],[TransactionDate]])</f>
        <v>15</v>
      </c>
      <c r="P26" s="15">
        <f>MONTH(Table1[[#This Row],[TransactionDate]])</f>
        <v>1</v>
      </c>
      <c r="Q26" s="12">
        <f>YEAR(Table1[[#This Row],[TransactionDate]])</f>
        <v>2024</v>
      </c>
      <c r="R26" s="9">
        <f>EOMONTH(Table1[[#This Row],[TransactionDate]],0)</f>
        <v>45322</v>
      </c>
      <c r="S26" s="1" t="s">
        <v>68</v>
      </c>
      <c r="T26" s="1">
        <f>IFERROR(Table1[[#This Row],[Quantity_Fixed]]*Table1[[#This Row],[UnitPrice]]*(1+$Y$5),"Check Quantity")</f>
        <v>47.197500000000005</v>
      </c>
    </row>
    <row r="27" spans="1:20" x14ac:dyDescent="0.3">
      <c r="A27" s="1">
        <v>1027</v>
      </c>
      <c r="B27" s="1" t="s">
        <v>143</v>
      </c>
      <c r="C27" s="1"/>
      <c r="D27" s="1" t="s">
        <v>77</v>
      </c>
      <c r="E27" s="1" t="s">
        <v>233</v>
      </c>
      <c r="F27" s="1" t="s">
        <v>208</v>
      </c>
      <c r="G27" s="1" t="s">
        <v>209</v>
      </c>
      <c r="H27" s="5" t="s">
        <v>42</v>
      </c>
      <c r="I27" s="1" t="s">
        <v>10</v>
      </c>
      <c r="J27" s="1">
        <v>4</v>
      </c>
      <c r="K27" s="1">
        <f>COUNTA(Table1[[#This Row],[Quantity_Fixed]])</f>
        <v>1</v>
      </c>
      <c r="L27" s="1">
        <f>IF(Table1[[#This Row],[Quantity_Fixed]]="two",2,IF(Table1[[#This Row],[Quantity_Fixed]]="N/A","Missing",Table1[[#This Row],[Quantity_Fixed]]))</f>
        <v>4</v>
      </c>
      <c r="M27" s="1">
        <v>129</v>
      </c>
      <c r="N27" s="9">
        <v>45325</v>
      </c>
      <c r="O27" s="12">
        <f>DAY(Table1[[#This Row],[TransactionDate]])</f>
        <v>3</v>
      </c>
      <c r="P27" s="15">
        <f>MONTH(Table1[[#This Row],[TransactionDate]])</f>
        <v>2</v>
      </c>
      <c r="Q27" s="12">
        <f>YEAR(Table1[[#This Row],[TransactionDate]])</f>
        <v>2024</v>
      </c>
      <c r="R27" s="9">
        <f>EOMONTH(Table1[[#This Row],[TransactionDate]],0)</f>
        <v>45351</v>
      </c>
      <c r="S27" s="1" t="s">
        <v>14</v>
      </c>
      <c r="T27" s="1">
        <f>IFERROR(Table1[[#This Row],[Quantity_Fixed]]*Table1[[#This Row],[UnitPrice]]*(1+$Y$5),"Check Quantity")</f>
        <v>541.80000000000007</v>
      </c>
    </row>
    <row r="28" spans="1:20" x14ac:dyDescent="0.3">
      <c r="A28" s="1">
        <v>1028</v>
      </c>
      <c r="B28" s="1" t="s">
        <v>69</v>
      </c>
      <c r="C28" s="4" t="s">
        <v>329</v>
      </c>
      <c r="D28" s="1" t="s">
        <v>85</v>
      </c>
      <c r="E28" s="1" t="s">
        <v>234</v>
      </c>
      <c r="F28" s="1" t="s">
        <v>235</v>
      </c>
      <c r="G28" s="1" t="s">
        <v>236</v>
      </c>
      <c r="H28" s="5" t="s">
        <v>42</v>
      </c>
      <c r="I28" s="1" t="s">
        <v>10</v>
      </c>
      <c r="J28" s="1">
        <v>5</v>
      </c>
      <c r="K28" s="1">
        <f>COUNTA(Table1[[#This Row],[Quantity_Fixed]])</f>
        <v>1</v>
      </c>
      <c r="L28" s="1">
        <f>IF(Table1[[#This Row],[Quantity_Fixed]]="two",2,IF(Table1[[#This Row],[Quantity_Fixed]]="N/A","Missing",Table1[[#This Row],[Quantity_Fixed]]))</f>
        <v>5</v>
      </c>
      <c r="M28" s="1">
        <v>129</v>
      </c>
      <c r="N28" s="9">
        <v>45325</v>
      </c>
      <c r="O28" s="12">
        <f>DAY(Table1[[#This Row],[TransactionDate]])</f>
        <v>3</v>
      </c>
      <c r="P28" s="15">
        <f>MONTH(Table1[[#This Row],[TransactionDate]])</f>
        <v>2</v>
      </c>
      <c r="Q28" s="12">
        <f>YEAR(Table1[[#This Row],[TransactionDate]])</f>
        <v>2024</v>
      </c>
      <c r="R28" s="9">
        <f>EOMONTH(Table1[[#This Row],[TransactionDate]],0)</f>
        <v>45351</v>
      </c>
      <c r="S28" s="1" t="s">
        <v>64</v>
      </c>
      <c r="T28" s="1">
        <f>IFERROR(Table1[[#This Row],[Quantity_Fixed]]*Table1[[#This Row],[UnitPrice]]*(1+$Y$5),"Check Quantity")</f>
        <v>677.25</v>
      </c>
    </row>
    <row r="29" spans="1:20" x14ac:dyDescent="0.3">
      <c r="A29" s="1">
        <v>1029</v>
      </c>
      <c r="B29" s="1" t="s">
        <v>69</v>
      </c>
      <c r="C29" s="4" t="s">
        <v>330</v>
      </c>
      <c r="D29" s="1" t="s">
        <v>95</v>
      </c>
      <c r="E29" s="1" t="s">
        <v>237</v>
      </c>
      <c r="F29" s="1" t="s">
        <v>217</v>
      </c>
      <c r="G29" s="1" t="s">
        <v>218</v>
      </c>
      <c r="H29" s="5" t="s">
        <v>96</v>
      </c>
      <c r="I29" s="1" t="s">
        <v>10</v>
      </c>
      <c r="J29" s="1">
        <v>7</v>
      </c>
      <c r="K29" s="1">
        <f>COUNTA(Table1[[#This Row],[Quantity_Fixed]])</f>
        <v>1</v>
      </c>
      <c r="L29" s="1">
        <f>IF(Table1[[#This Row],[Quantity_Fixed]]="two",2,IF(Table1[[#This Row],[Quantity_Fixed]]="N/A","Missing",Table1[[#This Row],[Quantity_Fixed]]))</f>
        <v>7</v>
      </c>
      <c r="M29" s="1">
        <v>33</v>
      </c>
      <c r="N29" s="10">
        <v>45373</v>
      </c>
      <c r="O29" s="13">
        <f>DAY(Table1[[#This Row],[TransactionDate]])</f>
        <v>22</v>
      </c>
      <c r="P29" s="16">
        <f>MONTH(Table1[[#This Row],[TransactionDate]])</f>
        <v>3</v>
      </c>
      <c r="Q29" s="13">
        <f>YEAR(Table1[[#This Row],[TransactionDate]])</f>
        <v>2024</v>
      </c>
      <c r="R29" s="10">
        <f>EOMONTH(Table1[[#This Row],[TransactionDate]],0)</f>
        <v>45382</v>
      </c>
      <c r="S29" s="1" t="s">
        <v>64</v>
      </c>
      <c r="T29" s="1">
        <f>IFERROR(Table1[[#This Row],[Quantity_Fixed]]*Table1[[#This Row],[UnitPrice]]*(1+$Y$5),"Check Quantity")</f>
        <v>242.55</v>
      </c>
    </row>
    <row r="30" spans="1:20" x14ac:dyDescent="0.3">
      <c r="A30" s="1">
        <v>1030</v>
      </c>
      <c r="B30" s="1" t="s">
        <v>97</v>
      </c>
      <c r="C30" s="4" t="s">
        <v>331</v>
      </c>
      <c r="D30" s="1" t="s">
        <v>144</v>
      </c>
      <c r="E30" s="1" t="s">
        <v>238</v>
      </c>
      <c r="F30" s="1" t="s">
        <v>235</v>
      </c>
      <c r="G30" s="1" t="s">
        <v>236</v>
      </c>
      <c r="H30" s="5" t="s">
        <v>96</v>
      </c>
      <c r="I30" s="1" t="s">
        <v>10</v>
      </c>
      <c r="J30" s="1">
        <v>8</v>
      </c>
      <c r="K30" s="1">
        <f>COUNTA(Table1[[#This Row],[Quantity_Fixed]])</f>
        <v>1</v>
      </c>
      <c r="L30" s="1">
        <f>IF(Table1[[#This Row],[Quantity_Fixed]]="two",2,IF(Table1[[#This Row],[Quantity_Fixed]]="N/A","Missing",Table1[[#This Row],[Quantity_Fixed]]))</f>
        <v>8</v>
      </c>
      <c r="M30" s="1">
        <v>33</v>
      </c>
      <c r="N30" s="10">
        <v>45373</v>
      </c>
      <c r="O30" s="13">
        <f>DAY(Table1[[#This Row],[TransactionDate]])</f>
        <v>22</v>
      </c>
      <c r="P30" s="16">
        <f>MONTH(Table1[[#This Row],[TransactionDate]])</f>
        <v>3</v>
      </c>
      <c r="Q30" s="13">
        <f>YEAR(Table1[[#This Row],[TransactionDate]])</f>
        <v>2024</v>
      </c>
      <c r="R30" s="10">
        <f>EOMONTH(Table1[[#This Row],[TransactionDate]],0)</f>
        <v>45382</v>
      </c>
      <c r="S30" s="1" t="s">
        <v>11</v>
      </c>
      <c r="T30" s="1">
        <f>IFERROR(Table1[[#This Row],[Quantity_Fixed]]*Table1[[#This Row],[UnitPrice]]*(1+$Y$5),"Check Quantity")</f>
        <v>277.2</v>
      </c>
    </row>
    <row r="31" spans="1:20" x14ac:dyDescent="0.3">
      <c r="A31" s="1">
        <v>1031</v>
      </c>
      <c r="B31" s="1" t="s">
        <v>163</v>
      </c>
      <c r="C31" s="4" t="s">
        <v>332</v>
      </c>
      <c r="D31" s="1" t="s">
        <v>70</v>
      </c>
      <c r="E31" s="1" t="s">
        <v>239</v>
      </c>
      <c r="F31" s="1" t="s">
        <v>193</v>
      </c>
      <c r="G31" s="1" t="s">
        <v>194</v>
      </c>
      <c r="H31" s="5" t="s">
        <v>32</v>
      </c>
      <c r="I31" s="1" t="s">
        <v>21</v>
      </c>
      <c r="J31" s="1">
        <v>4</v>
      </c>
      <c r="K31" s="1">
        <f>COUNTA(Table1[[#This Row],[Quantity_Fixed]])</f>
        <v>1</v>
      </c>
      <c r="L31" s="1">
        <f>IF(Table1[[#This Row],[Quantity_Fixed]]="two",2,IF(Table1[[#This Row],[Quantity_Fixed]]="N/A","Missing",Table1[[#This Row],[Quantity_Fixed]]))</f>
        <v>4</v>
      </c>
      <c r="M31" s="1">
        <v>15.99</v>
      </c>
      <c r="N31" s="10">
        <v>45373</v>
      </c>
      <c r="O31" s="13">
        <f>DAY(Table1[[#This Row],[TransactionDate]])</f>
        <v>22</v>
      </c>
      <c r="P31" s="16">
        <f>MONTH(Table1[[#This Row],[TransactionDate]])</f>
        <v>3</v>
      </c>
      <c r="Q31" s="13">
        <f>YEAR(Table1[[#This Row],[TransactionDate]])</f>
        <v>2024</v>
      </c>
      <c r="R31" s="10">
        <f>EOMONTH(Table1[[#This Row],[TransactionDate]],0)</f>
        <v>45382</v>
      </c>
      <c r="S31" s="1" t="s">
        <v>64</v>
      </c>
      <c r="T31" s="1">
        <f>IFERROR(Table1[[#This Row],[Quantity_Fixed]]*Table1[[#This Row],[UnitPrice]]*(1+$Y$5),"Check Quantity")</f>
        <v>67.158000000000001</v>
      </c>
    </row>
    <row r="32" spans="1:20" x14ac:dyDescent="0.3">
      <c r="A32" s="1">
        <v>1031</v>
      </c>
      <c r="B32" s="1" t="s">
        <v>71</v>
      </c>
      <c r="C32" s="4" t="s">
        <v>332</v>
      </c>
      <c r="D32" s="1" t="s">
        <v>70</v>
      </c>
      <c r="E32" s="1" t="s">
        <v>239</v>
      </c>
      <c r="F32" s="1" t="s">
        <v>193</v>
      </c>
      <c r="G32" s="1" t="s">
        <v>194</v>
      </c>
      <c r="H32" s="5" t="s">
        <v>32</v>
      </c>
      <c r="I32" s="1" t="s">
        <v>21</v>
      </c>
      <c r="J32" s="1">
        <v>4</v>
      </c>
      <c r="K32" s="1">
        <f>COUNTA(Table1[[#This Row],[Quantity_Fixed]])</f>
        <v>1</v>
      </c>
      <c r="L32" s="1">
        <f>IF(Table1[[#This Row],[Quantity_Fixed]]="two",2,IF(Table1[[#This Row],[Quantity_Fixed]]="N/A","Missing",Table1[[#This Row],[Quantity_Fixed]]))</f>
        <v>4</v>
      </c>
      <c r="M32" s="1">
        <v>15.99</v>
      </c>
      <c r="N32" s="9">
        <v>45373</v>
      </c>
      <c r="O32" s="12">
        <f>DAY(Table1[[#This Row],[TransactionDate]])</f>
        <v>22</v>
      </c>
      <c r="P32" s="15">
        <f>MONTH(Table1[[#This Row],[TransactionDate]])</f>
        <v>3</v>
      </c>
      <c r="Q32" s="12">
        <f>YEAR(Table1[[#This Row],[TransactionDate]])</f>
        <v>2024</v>
      </c>
      <c r="R32" s="9">
        <f>EOMONTH(Table1[[#This Row],[TransactionDate]],0)</f>
        <v>45382</v>
      </c>
      <c r="S32" s="1" t="s">
        <v>64</v>
      </c>
      <c r="T32" s="1">
        <f>IFERROR(Table1[[#This Row],[Quantity_Fixed]]*Table1[[#This Row],[UnitPrice]]*(1+$Y$5),"Check Quantity")</f>
        <v>67.158000000000001</v>
      </c>
    </row>
    <row r="33" spans="1:20" x14ac:dyDescent="0.3">
      <c r="A33" s="1">
        <v>1032</v>
      </c>
      <c r="B33" s="1" t="s">
        <v>135</v>
      </c>
      <c r="C33" s="4" t="s">
        <v>333</v>
      </c>
      <c r="D33" s="1" t="s">
        <v>119</v>
      </c>
      <c r="E33" s="1" t="s">
        <v>240</v>
      </c>
      <c r="F33" s="1" t="s">
        <v>226</v>
      </c>
      <c r="G33" s="1" t="s">
        <v>227</v>
      </c>
      <c r="H33" s="5" t="s">
        <v>24</v>
      </c>
      <c r="I33" s="1" t="s">
        <v>21</v>
      </c>
      <c r="J33" s="1">
        <v>5</v>
      </c>
      <c r="K33" s="1">
        <f>COUNTA(Table1[[#This Row],[Quantity_Fixed]])</f>
        <v>1</v>
      </c>
      <c r="L33" s="1">
        <f>IF(Table1[[#This Row],[Quantity_Fixed]]="two",2,IF(Table1[[#This Row],[Quantity_Fixed]]="N/A","Missing",Table1[[#This Row],[Quantity_Fixed]]))</f>
        <v>5</v>
      </c>
      <c r="M33" s="1">
        <v>34.5</v>
      </c>
      <c r="N33" s="9">
        <v>45353</v>
      </c>
      <c r="O33" s="12">
        <f>DAY(Table1[[#This Row],[TransactionDate]])</f>
        <v>2</v>
      </c>
      <c r="P33" s="15">
        <f>MONTH(Table1[[#This Row],[TransactionDate]])</f>
        <v>3</v>
      </c>
      <c r="Q33" s="12">
        <f>YEAR(Table1[[#This Row],[TransactionDate]])</f>
        <v>2024</v>
      </c>
      <c r="R33" s="9">
        <f>EOMONTH(Table1[[#This Row],[TransactionDate]],0)</f>
        <v>45382</v>
      </c>
      <c r="S33" s="1" t="s">
        <v>64</v>
      </c>
      <c r="T33" s="1">
        <f>IFERROR(Table1[[#This Row],[Quantity_Fixed]]*Table1[[#This Row],[UnitPrice]]*(1+$Y$5),"Check Quantity")</f>
        <v>181.125</v>
      </c>
    </row>
    <row r="34" spans="1:20" x14ac:dyDescent="0.3">
      <c r="A34" s="1">
        <v>1033</v>
      </c>
      <c r="B34" s="1" t="s">
        <v>164</v>
      </c>
      <c r="C34" s="4" t="s">
        <v>334</v>
      </c>
      <c r="D34" s="1" t="s">
        <v>78</v>
      </c>
      <c r="E34" s="1" t="s">
        <v>241</v>
      </c>
      <c r="F34" s="1" t="s">
        <v>249</v>
      </c>
      <c r="G34" s="1">
        <v>4000</v>
      </c>
      <c r="H34" s="5" t="s">
        <v>39</v>
      </c>
      <c r="I34" s="1" t="s">
        <v>40</v>
      </c>
      <c r="J34" s="1">
        <v>6</v>
      </c>
      <c r="K34" s="1">
        <f>COUNTA(Table1[[#This Row],[Quantity_Fixed]])</f>
        <v>1</v>
      </c>
      <c r="L34" s="1">
        <f>IF(Table1[[#This Row],[Quantity_Fixed]]="two",2,IF(Table1[[#This Row],[Quantity_Fixed]]="N/A","Missing",Table1[[#This Row],[Quantity_Fixed]]))</f>
        <v>6</v>
      </c>
      <c r="M34" s="1">
        <v>45</v>
      </c>
      <c r="N34" s="10">
        <v>45373</v>
      </c>
      <c r="O34" s="13">
        <f>DAY(Table1[[#This Row],[TransactionDate]])</f>
        <v>22</v>
      </c>
      <c r="P34" s="16">
        <f>MONTH(Table1[[#This Row],[TransactionDate]])</f>
        <v>3</v>
      </c>
      <c r="Q34" s="13">
        <f>YEAR(Table1[[#This Row],[TransactionDate]])</f>
        <v>2024</v>
      </c>
      <c r="R34" s="10">
        <f>EOMONTH(Table1[[#This Row],[TransactionDate]],0)</f>
        <v>45382</v>
      </c>
      <c r="S34" s="1" t="s">
        <v>11</v>
      </c>
      <c r="T34" s="1">
        <f>IFERROR(Table1[[#This Row],[Quantity_Fixed]]*Table1[[#This Row],[UnitPrice]]*(1+$Y$5),"Check Quantity")</f>
        <v>283.5</v>
      </c>
    </row>
    <row r="35" spans="1:20" x14ac:dyDescent="0.3">
      <c r="A35" s="1">
        <v>1035</v>
      </c>
      <c r="B35" s="1" t="s">
        <v>120</v>
      </c>
      <c r="C35" s="4" t="s">
        <v>335</v>
      </c>
      <c r="D35" s="1" t="s">
        <v>136</v>
      </c>
      <c r="E35" s="1" t="s">
        <v>242</v>
      </c>
      <c r="F35" s="1" t="s">
        <v>212</v>
      </c>
      <c r="G35" s="1" t="s">
        <v>213</v>
      </c>
      <c r="H35" s="5" t="s">
        <v>36</v>
      </c>
      <c r="I35" s="1" t="s">
        <v>21</v>
      </c>
      <c r="J35" s="1">
        <v>5</v>
      </c>
      <c r="K35" s="1">
        <f>COUNTA(Table1[[#This Row],[Quantity_Fixed]])</f>
        <v>1</v>
      </c>
      <c r="L35" s="1">
        <f>IF(Table1[[#This Row],[Quantity_Fixed]]="two",2,IF(Table1[[#This Row],[Quantity_Fixed]]="N/A","Missing",Table1[[#This Row],[Quantity_Fixed]]))</f>
        <v>5</v>
      </c>
      <c r="M35" s="1">
        <v>59.99</v>
      </c>
      <c r="N35" s="9">
        <v>45306</v>
      </c>
      <c r="O35" s="12">
        <f>DAY(Table1[[#This Row],[TransactionDate]])</f>
        <v>15</v>
      </c>
      <c r="P35" s="15">
        <f>MONTH(Table1[[#This Row],[TransactionDate]])</f>
        <v>1</v>
      </c>
      <c r="Q35" s="12">
        <f>YEAR(Table1[[#This Row],[TransactionDate]])</f>
        <v>2024</v>
      </c>
      <c r="R35" s="9">
        <f>EOMONTH(Table1[[#This Row],[TransactionDate]],0)</f>
        <v>45322</v>
      </c>
      <c r="S35" s="1" t="s">
        <v>11</v>
      </c>
      <c r="T35" s="1">
        <f>IFERROR(Table1[[#This Row],[Quantity_Fixed]]*Table1[[#This Row],[UnitPrice]]*(1+$Y$5),"Check Quantity")</f>
        <v>314.94749999999999</v>
      </c>
    </row>
    <row r="36" spans="1:20" x14ac:dyDescent="0.3">
      <c r="A36" s="1">
        <v>1036</v>
      </c>
      <c r="B36" s="1" t="s">
        <v>15</v>
      </c>
      <c r="C36" s="4" t="s">
        <v>336</v>
      </c>
      <c r="D36" s="1" t="s">
        <v>81</v>
      </c>
      <c r="E36" s="1" t="s">
        <v>243</v>
      </c>
      <c r="F36" s="1" t="s">
        <v>235</v>
      </c>
      <c r="G36" s="1" t="s">
        <v>236</v>
      </c>
      <c r="H36" s="5" t="s">
        <v>82</v>
      </c>
      <c r="I36" s="1" t="s">
        <v>40</v>
      </c>
      <c r="J36" s="1">
        <v>5</v>
      </c>
      <c r="K36" s="1">
        <f>COUNTA(Table1[[#This Row],[Quantity_Fixed]])</f>
        <v>1</v>
      </c>
      <c r="L36" s="1">
        <f>IF(Table1[[#This Row],[Quantity_Fixed]]="two",2,IF(Table1[[#This Row],[Quantity_Fixed]]="N/A","Missing",Table1[[#This Row],[Quantity_Fixed]]))</f>
        <v>5</v>
      </c>
      <c r="M36" s="1">
        <v>45</v>
      </c>
      <c r="N36" s="9">
        <v>45306</v>
      </c>
      <c r="O36" s="12">
        <f>DAY(Table1[[#This Row],[TransactionDate]])</f>
        <v>15</v>
      </c>
      <c r="P36" s="15">
        <f>MONTH(Table1[[#This Row],[TransactionDate]])</f>
        <v>1</v>
      </c>
      <c r="Q36" s="12">
        <f>YEAR(Table1[[#This Row],[TransactionDate]])</f>
        <v>2024</v>
      </c>
      <c r="R36" s="9">
        <f>EOMONTH(Table1[[#This Row],[TransactionDate]],0)</f>
        <v>45322</v>
      </c>
      <c r="S36" s="1" t="s">
        <v>11</v>
      </c>
      <c r="T36" s="1">
        <f>IFERROR(Table1[[#This Row],[Quantity_Fixed]]*Table1[[#This Row],[UnitPrice]]*(1+$Y$5),"Check Quantity")</f>
        <v>236.25</v>
      </c>
    </row>
    <row r="37" spans="1:20" x14ac:dyDescent="0.3">
      <c r="A37" s="1">
        <v>1037</v>
      </c>
      <c r="B37" s="1" t="s">
        <v>15</v>
      </c>
      <c r="C37" s="4" t="s">
        <v>337</v>
      </c>
      <c r="D37" s="1" t="s">
        <v>60</v>
      </c>
      <c r="E37" s="1" t="s">
        <v>244</v>
      </c>
      <c r="F37" s="1" t="s">
        <v>212</v>
      </c>
      <c r="G37" s="1" t="s">
        <v>213</v>
      </c>
      <c r="H37" s="5" t="s">
        <v>61</v>
      </c>
      <c r="I37" s="1" t="s">
        <v>54</v>
      </c>
      <c r="J37" s="1">
        <v>1</v>
      </c>
      <c r="K37" s="1">
        <f>COUNTA(Table1[[#This Row],[Quantity_Fixed]])</f>
        <v>1</v>
      </c>
      <c r="L37" s="1">
        <f>IF(Table1[[#This Row],[Quantity_Fixed]]="two",2,IF(Table1[[#This Row],[Quantity_Fixed]]="N/A","Missing",Table1[[#This Row],[Quantity_Fixed]]))</f>
        <v>1</v>
      </c>
      <c r="M37" s="1">
        <v>19.989999999999998</v>
      </c>
      <c r="N37" s="9">
        <v>45373</v>
      </c>
      <c r="O37" s="12">
        <f>DAY(Table1[[#This Row],[TransactionDate]])</f>
        <v>22</v>
      </c>
      <c r="P37" s="15">
        <f>MONTH(Table1[[#This Row],[TransactionDate]])</f>
        <v>3</v>
      </c>
      <c r="Q37" s="12">
        <f>YEAR(Table1[[#This Row],[TransactionDate]])</f>
        <v>2024</v>
      </c>
      <c r="R37" s="9">
        <f>EOMONTH(Table1[[#This Row],[TransactionDate]],0)</f>
        <v>45382</v>
      </c>
      <c r="S37" s="1" t="s">
        <v>33</v>
      </c>
      <c r="T37" s="1">
        <f>IFERROR(Table1[[#This Row],[Quantity_Fixed]]*Table1[[#This Row],[UnitPrice]]*(1+$Y$5),"Check Quantity")</f>
        <v>20.9895</v>
      </c>
    </row>
    <row r="38" spans="1:20" x14ac:dyDescent="0.3">
      <c r="A38" s="1">
        <v>1038</v>
      </c>
      <c r="B38" s="1" t="s">
        <v>79</v>
      </c>
      <c r="C38" s="4" t="s">
        <v>338</v>
      </c>
      <c r="D38" s="1" t="s">
        <v>121</v>
      </c>
      <c r="E38" s="1" t="s">
        <v>245</v>
      </c>
      <c r="F38" s="1" t="s">
        <v>217</v>
      </c>
      <c r="G38" s="1" t="s">
        <v>218</v>
      </c>
      <c r="H38" s="5" t="s">
        <v>56</v>
      </c>
      <c r="I38" s="1" t="s">
        <v>57</v>
      </c>
      <c r="J38" s="1">
        <v>5</v>
      </c>
      <c r="K38" s="1">
        <f>COUNTA(Table1[[#This Row],[Quantity_Fixed]])</f>
        <v>1</v>
      </c>
      <c r="L38" s="1">
        <f>IF(Table1[[#This Row],[Quantity_Fixed]]="two",2,IF(Table1[[#This Row],[Quantity_Fixed]]="N/A","Missing",Table1[[#This Row],[Quantity_Fixed]]))</f>
        <v>5</v>
      </c>
      <c r="M38" s="1">
        <v>4.25</v>
      </c>
      <c r="N38" s="9">
        <v>45325</v>
      </c>
      <c r="O38" s="12">
        <f>DAY(Table1[[#This Row],[TransactionDate]])</f>
        <v>3</v>
      </c>
      <c r="P38" s="15">
        <f>MONTH(Table1[[#This Row],[TransactionDate]])</f>
        <v>2</v>
      </c>
      <c r="Q38" s="12">
        <f>YEAR(Table1[[#This Row],[TransactionDate]])</f>
        <v>2024</v>
      </c>
      <c r="R38" s="9">
        <f>EOMONTH(Table1[[#This Row],[TransactionDate]],0)</f>
        <v>45351</v>
      </c>
      <c r="S38" s="1" t="s">
        <v>64</v>
      </c>
      <c r="T38" s="1">
        <f>IFERROR(Table1[[#This Row],[Quantity_Fixed]]*Table1[[#This Row],[UnitPrice]]*(1+$Y$5),"Check Quantity")</f>
        <v>22.3125</v>
      </c>
    </row>
    <row r="39" spans="1:20" x14ac:dyDescent="0.3">
      <c r="A39" s="1">
        <v>1039</v>
      </c>
      <c r="B39" s="1" t="s">
        <v>110</v>
      </c>
      <c r="C39" s="4" t="s">
        <v>339</v>
      </c>
      <c r="D39" s="1" t="s">
        <v>16</v>
      </c>
      <c r="E39" s="1" t="s">
        <v>246</v>
      </c>
      <c r="F39" s="1" t="s">
        <v>220</v>
      </c>
      <c r="G39" s="1" t="s">
        <v>221</v>
      </c>
      <c r="H39" s="5" t="s">
        <v>17</v>
      </c>
      <c r="I39" s="1" t="s">
        <v>18</v>
      </c>
      <c r="J39" s="1">
        <v>4</v>
      </c>
      <c r="K39" s="1">
        <f>COUNTA(Table1[[#This Row],[Quantity_Fixed]])</f>
        <v>1</v>
      </c>
      <c r="L39" s="1">
        <f>IF(Table1[[#This Row],[Quantity_Fixed]]="two",2,IF(Table1[[#This Row],[Quantity_Fixed]]="N/A","Missing",Table1[[#This Row],[Quantity_Fixed]]))</f>
        <v>4</v>
      </c>
      <c r="M39" s="1">
        <v>68</v>
      </c>
      <c r="N39" s="9">
        <v>45373</v>
      </c>
      <c r="O39" s="12">
        <f>DAY(Table1[[#This Row],[TransactionDate]])</f>
        <v>22</v>
      </c>
      <c r="P39" s="15">
        <f>MONTH(Table1[[#This Row],[TransactionDate]])</f>
        <v>3</v>
      </c>
      <c r="Q39" s="12">
        <f>YEAR(Table1[[#This Row],[TransactionDate]])</f>
        <v>2024</v>
      </c>
      <c r="R39" s="9">
        <f>EOMONTH(Table1[[#This Row],[TransactionDate]],0)</f>
        <v>45382</v>
      </c>
      <c r="S39" s="1" t="s">
        <v>11</v>
      </c>
      <c r="T39" s="1">
        <f>IFERROR(Table1[[#This Row],[Quantity_Fixed]]*Table1[[#This Row],[UnitPrice]]*(1+$Y$5),"Check Quantity")</f>
        <v>285.60000000000002</v>
      </c>
    </row>
    <row r="40" spans="1:20" x14ac:dyDescent="0.3">
      <c r="A40" s="1">
        <v>1039</v>
      </c>
      <c r="B40" s="1" t="s">
        <v>137</v>
      </c>
      <c r="C40" s="4" t="s">
        <v>339</v>
      </c>
      <c r="D40" s="1" t="s">
        <v>16</v>
      </c>
      <c r="E40" s="1" t="s">
        <v>246</v>
      </c>
      <c r="F40" s="1" t="s">
        <v>220</v>
      </c>
      <c r="G40" s="1" t="s">
        <v>221</v>
      </c>
      <c r="H40" s="5" t="s">
        <v>17</v>
      </c>
      <c r="I40" s="1" t="s">
        <v>18</v>
      </c>
      <c r="J40" s="1">
        <v>4</v>
      </c>
      <c r="K40" s="1">
        <f>COUNTA(Table1[[#This Row],[Quantity_Fixed]])</f>
        <v>1</v>
      </c>
      <c r="L40" s="1">
        <f>IF(Table1[[#This Row],[Quantity_Fixed]]="two",2,IF(Table1[[#This Row],[Quantity_Fixed]]="N/A","Missing",Table1[[#This Row],[Quantity_Fixed]]))</f>
        <v>4</v>
      </c>
      <c r="M40" s="1">
        <v>68</v>
      </c>
      <c r="N40" s="9">
        <v>45373</v>
      </c>
      <c r="O40" s="12">
        <f>DAY(Table1[[#This Row],[TransactionDate]])</f>
        <v>22</v>
      </c>
      <c r="P40" s="15">
        <f>MONTH(Table1[[#This Row],[TransactionDate]])</f>
        <v>3</v>
      </c>
      <c r="Q40" s="12">
        <f>YEAR(Table1[[#This Row],[TransactionDate]])</f>
        <v>2024</v>
      </c>
      <c r="R40" s="9">
        <f>EOMONTH(Table1[[#This Row],[TransactionDate]],0)</f>
        <v>45382</v>
      </c>
      <c r="S40" s="1" t="s">
        <v>11</v>
      </c>
      <c r="T40" s="1">
        <f>IFERROR(Table1[[#This Row],[Quantity_Fixed]]*Table1[[#This Row],[UnitPrice]]*(1+$Y$5),"Check Quantity")</f>
        <v>285.60000000000002</v>
      </c>
    </row>
    <row r="41" spans="1:20" x14ac:dyDescent="0.3">
      <c r="A41" s="1">
        <v>1040</v>
      </c>
      <c r="B41" s="1" t="s">
        <v>165</v>
      </c>
      <c r="C41" s="1"/>
      <c r="D41" s="1" t="s">
        <v>80</v>
      </c>
      <c r="E41" s="1" t="s">
        <v>247</v>
      </c>
      <c r="F41" s="1" t="s">
        <v>190</v>
      </c>
      <c r="G41" s="1" t="s">
        <v>191</v>
      </c>
      <c r="H41" s="5" t="s">
        <v>53</v>
      </c>
      <c r="I41" s="1" t="s">
        <v>54</v>
      </c>
      <c r="J41" s="1">
        <v>3</v>
      </c>
      <c r="K41" s="1">
        <f>COUNTA(Table1[[#This Row],[Quantity_Fixed]])</f>
        <v>1</v>
      </c>
      <c r="L41" s="1">
        <f>IF(Table1[[#This Row],[Quantity_Fixed]]="two",2,IF(Table1[[#This Row],[Quantity_Fixed]]="N/A","Missing",Table1[[#This Row],[Quantity_Fixed]]))</f>
        <v>3</v>
      </c>
      <c r="M41" s="1">
        <v>19.989999999999998</v>
      </c>
      <c r="N41" s="9">
        <v>45306</v>
      </c>
      <c r="O41" s="12">
        <f>DAY(Table1[[#This Row],[TransactionDate]])</f>
        <v>15</v>
      </c>
      <c r="P41" s="15">
        <f>MONTH(Table1[[#This Row],[TransactionDate]])</f>
        <v>1</v>
      </c>
      <c r="Q41" s="12">
        <f>YEAR(Table1[[#This Row],[TransactionDate]])</f>
        <v>2024</v>
      </c>
      <c r="R41" s="9">
        <f>EOMONTH(Table1[[#This Row],[TransactionDate]],0)</f>
        <v>45322</v>
      </c>
      <c r="S41" s="1" t="s">
        <v>68</v>
      </c>
      <c r="T41" s="1">
        <f>IFERROR(Table1[[#This Row],[Quantity_Fixed]]*Table1[[#This Row],[UnitPrice]]*(1+$Y$5),"Check Quantity")</f>
        <v>62.968499999999999</v>
      </c>
    </row>
    <row r="42" spans="1:20" x14ac:dyDescent="0.3">
      <c r="A42" s="1">
        <v>1041</v>
      </c>
      <c r="B42" s="1" t="s">
        <v>165</v>
      </c>
      <c r="C42" s="4" t="s">
        <v>340</v>
      </c>
      <c r="D42" s="1" t="s">
        <v>111</v>
      </c>
      <c r="E42" s="1" t="s">
        <v>248</v>
      </c>
      <c r="F42" s="1" t="s">
        <v>299</v>
      </c>
      <c r="G42" s="1">
        <v>4000</v>
      </c>
      <c r="H42" s="5" t="s">
        <v>53</v>
      </c>
      <c r="I42" s="1" t="s">
        <v>54</v>
      </c>
      <c r="J42" s="1">
        <v>2</v>
      </c>
      <c r="K42" s="1">
        <f>COUNTA(Table1[[#This Row],[Quantity_Fixed]])</f>
        <v>1</v>
      </c>
      <c r="L42" s="1">
        <f>IF(Table1[[#This Row],[Quantity_Fixed]]="two",2,IF(Table1[[#This Row],[Quantity_Fixed]]="N/A","Missing",Table1[[#This Row],[Quantity_Fixed]]))</f>
        <v>2</v>
      </c>
      <c r="M42" s="1">
        <v>19.989999999999998</v>
      </c>
      <c r="N42" s="9">
        <v>45306</v>
      </c>
      <c r="O42" s="12">
        <f>DAY(Table1[[#This Row],[TransactionDate]])</f>
        <v>15</v>
      </c>
      <c r="P42" s="15">
        <f>MONTH(Table1[[#This Row],[TransactionDate]])</f>
        <v>1</v>
      </c>
      <c r="Q42" s="12">
        <f>YEAR(Table1[[#This Row],[TransactionDate]])</f>
        <v>2024</v>
      </c>
      <c r="R42" s="9">
        <f>EOMONTH(Table1[[#This Row],[TransactionDate]],0)</f>
        <v>45322</v>
      </c>
      <c r="S42" s="1" t="s">
        <v>14</v>
      </c>
      <c r="T42" s="1">
        <f>IFERROR(Table1[[#This Row],[Quantity_Fixed]]*Table1[[#This Row],[UnitPrice]]*(1+$Y$5),"Check Quantity")</f>
        <v>41.978999999999999</v>
      </c>
    </row>
    <row r="43" spans="1:20" x14ac:dyDescent="0.3">
      <c r="A43" s="1">
        <v>1043</v>
      </c>
      <c r="B43" s="1" t="s">
        <v>148</v>
      </c>
      <c r="C43" s="4" t="s">
        <v>341</v>
      </c>
      <c r="D43" s="1" t="s">
        <v>38</v>
      </c>
      <c r="E43" s="1" t="s">
        <v>250</v>
      </c>
      <c r="F43" s="1" t="s">
        <v>299</v>
      </c>
      <c r="G43" s="1">
        <v>4000</v>
      </c>
      <c r="H43" s="5" t="s">
        <v>39</v>
      </c>
      <c r="I43" s="1" t="s">
        <v>40</v>
      </c>
      <c r="J43" s="1">
        <v>6</v>
      </c>
      <c r="K43" s="1">
        <f>COUNTA(Table1[[#This Row],[Quantity_Fixed]])</f>
        <v>1</v>
      </c>
      <c r="L43" s="1">
        <f>IF(Table1[[#This Row],[Quantity_Fixed]]="two",2,IF(Table1[[#This Row],[Quantity_Fixed]]="N/A","Missing",Table1[[#This Row],[Quantity_Fixed]]))</f>
        <v>6</v>
      </c>
      <c r="M43" s="1">
        <v>45</v>
      </c>
      <c r="N43" s="9">
        <v>45306</v>
      </c>
      <c r="O43" s="12">
        <f>DAY(Table1[[#This Row],[TransactionDate]])</f>
        <v>15</v>
      </c>
      <c r="P43" s="15">
        <f>MONTH(Table1[[#This Row],[TransactionDate]])</f>
        <v>1</v>
      </c>
      <c r="Q43" s="12">
        <f>YEAR(Table1[[#This Row],[TransactionDate]])</f>
        <v>2024</v>
      </c>
      <c r="R43" s="9">
        <f>EOMONTH(Table1[[#This Row],[TransactionDate]],0)</f>
        <v>45322</v>
      </c>
      <c r="S43" s="1" t="s">
        <v>11</v>
      </c>
      <c r="T43" s="1">
        <f>IFERROR(Table1[[#This Row],[Quantity_Fixed]]*Table1[[#This Row],[UnitPrice]]*(1+$Y$5),"Check Quantity")</f>
        <v>283.5</v>
      </c>
    </row>
    <row r="44" spans="1:20" x14ac:dyDescent="0.3">
      <c r="A44" s="1">
        <v>1043</v>
      </c>
      <c r="B44" s="1" t="s">
        <v>129</v>
      </c>
      <c r="C44" s="4" t="s">
        <v>341</v>
      </c>
      <c r="D44" s="1" t="s">
        <v>38</v>
      </c>
      <c r="E44" s="1" t="s">
        <v>250</v>
      </c>
      <c r="F44" s="1" t="s">
        <v>299</v>
      </c>
      <c r="G44" s="1">
        <v>4000</v>
      </c>
      <c r="H44" s="5" t="s">
        <v>39</v>
      </c>
      <c r="I44" s="1" t="s">
        <v>40</v>
      </c>
      <c r="J44" s="1">
        <v>6</v>
      </c>
      <c r="K44" s="1">
        <f>COUNTA(Table1[[#This Row],[Quantity_Fixed]])</f>
        <v>1</v>
      </c>
      <c r="L44" s="1">
        <f>IF(Table1[[#This Row],[Quantity_Fixed]]="two",2,IF(Table1[[#This Row],[Quantity_Fixed]]="N/A","Missing",Table1[[#This Row],[Quantity_Fixed]]))</f>
        <v>6</v>
      </c>
      <c r="M44" s="1">
        <v>45</v>
      </c>
      <c r="N44" s="9">
        <v>45306</v>
      </c>
      <c r="O44" s="12">
        <f>DAY(Table1[[#This Row],[TransactionDate]])</f>
        <v>15</v>
      </c>
      <c r="P44" s="15">
        <f>MONTH(Table1[[#This Row],[TransactionDate]])</f>
        <v>1</v>
      </c>
      <c r="Q44" s="12">
        <f>YEAR(Table1[[#This Row],[TransactionDate]])</f>
        <v>2024</v>
      </c>
      <c r="R44" s="9">
        <f>EOMONTH(Table1[[#This Row],[TransactionDate]],0)</f>
        <v>45322</v>
      </c>
      <c r="S44" s="1" t="s">
        <v>11</v>
      </c>
      <c r="T44" s="1">
        <f>IFERROR(Table1[[#This Row],[Quantity_Fixed]]*Table1[[#This Row],[UnitPrice]]*(1+$Y$5),"Check Quantity")</f>
        <v>283.5</v>
      </c>
    </row>
    <row r="45" spans="1:20" x14ac:dyDescent="0.3">
      <c r="A45" s="1">
        <v>1044</v>
      </c>
      <c r="B45" s="1" t="s">
        <v>166</v>
      </c>
      <c r="C45" s="4" t="s">
        <v>342</v>
      </c>
      <c r="D45" s="1" t="s">
        <v>142</v>
      </c>
      <c r="E45" s="1" t="s">
        <v>251</v>
      </c>
      <c r="F45" s="1" t="s">
        <v>212</v>
      </c>
      <c r="G45" s="1" t="s">
        <v>213</v>
      </c>
      <c r="H45" s="5" t="s">
        <v>53</v>
      </c>
      <c r="I45" s="1" t="s">
        <v>54</v>
      </c>
      <c r="J45" s="1">
        <v>8</v>
      </c>
      <c r="K45" s="1">
        <f>COUNTA(Table1[[#This Row],[Quantity_Fixed]])</f>
        <v>1</v>
      </c>
      <c r="L45" s="1">
        <f>IF(Table1[[#This Row],[Quantity_Fixed]]="two",2,IF(Table1[[#This Row],[Quantity_Fixed]]="N/A","Missing",Table1[[#This Row],[Quantity_Fixed]]))</f>
        <v>8</v>
      </c>
      <c r="M45" s="1">
        <v>19.989999999999998</v>
      </c>
      <c r="N45" s="9">
        <v>45306</v>
      </c>
      <c r="O45" s="12">
        <f>DAY(Table1[[#This Row],[TransactionDate]])</f>
        <v>15</v>
      </c>
      <c r="P45" s="15">
        <f>MONTH(Table1[[#This Row],[TransactionDate]])</f>
        <v>1</v>
      </c>
      <c r="Q45" s="12">
        <f>YEAR(Table1[[#This Row],[TransactionDate]])</f>
        <v>2024</v>
      </c>
      <c r="R45" s="9">
        <f>EOMONTH(Table1[[#This Row],[TransactionDate]],0)</f>
        <v>45322</v>
      </c>
      <c r="S45" s="1" t="s">
        <v>22</v>
      </c>
      <c r="T45" s="1">
        <f>IFERROR(Table1[[#This Row],[Quantity_Fixed]]*Table1[[#This Row],[UnitPrice]]*(1+$Y$5),"Check Quantity")</f>
        <v>167.916</v>
      </c>
    </row>
    <row r="46" spans="1:20" x14ac:dyDescent="0.3">
      <c r="A46" s="1">
        <v>1045</v>
      </c>
      <c r="B46" s="1" t="s">
        <v>167</v>
      </c>
      <c r="C46" s="4" t="s">
        <v>343</v>
      </c>
      <c r="D46" s="1" t="s">
        <v>149</v>
      </c>
      <c r="E46" s="1" t="s">
        <v>252</v>
      </c>
      <c r="F46" s="1" t="s">
        <v>196</v>
      </c>
      <c r="G46" s="1" t="s">
        <v>197</v>
      </c>
      <c r="H46" s="5" t="s">
        <v>39</v>
      </c>
      <c r="I46" s="1" t="s">
        <v>40</v>
      </c>
      <c r="J46" s="1">
        <v>6</v>
      </c>
      <c r="K46" s="1">
        <f>COUNTA(Table1[[#This Row],[Quantity_Fixed]])</f>
        <v>1</v>
      </c>
      <c r="L46" s="1">
        <f>IF(Table1[[#This Row],[Quantity_Fixed]]="two",2,IF(Table1[[#This Row],[Quantity_Fixed]]="N/A","Missing",Table1[[#This Row],[Quantity_Fixed]]))</f>
        <v>6</v>
      </c>
      <c r="M46" s="1">
        <v>45</v>
      </c>
      <c r="N46" s="9">
        <v>45325</v>
      </c>
      <c r="O46" s="12">
        <f>DAY(Table1[[#This Row],[TransactionDate]])</f>
        <v>3</v>
      </c>
      <c r="P46" s="15">
        <f>MONTH(Table1[[#This Row],[TransactionDate]])</f>
        <v>2</v>
      </c>
      <c r="Q46" s="12">
        <f>YEAR(Table1[[#This Row],[TransactionDate]])</f>
        <v>2024</v>
      </c>
      <c r="R46" s="9">
        <f>EOMONTH(Table1[[#This Row],[TransactionDate]],0)</f>
        <v>45351</v>
      </c>
      <c r="S46" s="1" t="s">
        <v>68</v>
      </c>
      <c r="T46" s="1">
        <f>IFERROR(Table1[[#This Row],[Quantity_Fixed]]*Table1[[#This Row],[UnitPrice]]*(1+$Y$5),"Check Quantity")</f>
        <v>283.5</v>
      </c>
    </row>
    <row r="47" spans="1:20" x14ac:dyDescent="0.3">
      <c r="A47" s="1">
        <v>1046</v>
      </c>
      <c r="B47" s="1" t="s">
        <v>168</v>
      </c>
      <c r="C47" s="4" t="s">
        <v>344</v>
      </c>
      <c r="D47" s="1" t="s">
        <v>130</v>
      </c>
      <c r="E47" s="1" t="s">
        <v>253</v>
      </c>
      <c r="F47" s="1" t="s">
        <v>235</v>
      </c>
      <c r="G47" s="1" t="s">
        <v>236</v>
      </c>
      <c r="H47" s="5" t="s">
        <v>42</v>
      </c>
      <c r="I47" s="1" t="s">
        <v>10</v>
      </c>
      <c r="J47" s="1">
        <v>3</v>
      </c>
      <c r="K47" s="1">
        <f>COUNTA(Table1[[#This Row],[Quantity_Fixed]])</f>
        <v>1</v>
      </c>
      <c r="L47" s="1">
        <f>IF(Table1[[#This Row],[Quantity_Fixed]]="two",2,IF(Table1[[#This Row],[Quantity_Fixed]]="N/A","Missing",Table1[[#This Row],[Quantity_Fixed]]))</f>
        <v>3</v>
      </c>
      <c r="M47" s="1">
        <v>129</v>
      </c>
      <c r="N47" s="9">
        <v>45325</v>
      </c>
      <c r="O47" s="12">
        <f>DAY(Table1[[#This Row],[TransactionDate]])</f>
        <v>3</v>
      </c>
      <c r="P47" s="15">
        <f>MONTH(Table1[[#This Row],[TransactionDate]])</f>
        <v>2</v>
      </c>
      <c r="Q47" s="12">
        <f>YEAR(Table1[[#This Row],[TransactionDate]])</f>
        <v>2024</v>
      </c>
      <c r="R47" s="9">
        <f>EOMONTH(Table1[[#This Row],[TransactionDate]],0)</f>
        <v>45351</v>
      </c>
      <c r="S47" s="1" t="s">
        <v>11</v>
      </c>
      <c r="T47" s="1">
        <f>IFERROR(Table1[[#This Row],[Quantity_Fixed]]*Table1[[#This Row],[UnitPrice]]*(1+$Y$5),"Check Quantity")</f>
        <v>406.35</v>
      </c>
    </row>
    <row r="48" spans="1:20" x14ac:dyDescent="0.3">
      <c r="A48" s="1">
        <v>1047</v>
      </c>
      <c r="B48" s="1" t="s">
        <v>154</v>
      </c>
      <c r="C48" s="4" t="s">
        <v>345</v>
      </c>
      <c r="D48" s="1" t="s">
        <v>55</v>
      </c>
      <c r="E48" s="1" t="s">
        <v>254</v>
      </c>
      <c r="F48" s="1" t="s">
        <v>205</v>
      </c>
      <c r="G48" s="1" t="s">
        <v>206</v>
      </c>
      <c r="H48" s="5" t="s">
        <v>56</v>
      </c>
      <c r="I48" s="1" t="s">
        <v>57</v>
      </c>
      <c r="J48" s="1">
        <v>5</v>
      </c>
      <c r="K48" s="1">
        <f>COUNTA(Table1[[#This Row],[Quantity_Fixed]])</f>
        <v>1</v>
      </c>
      <c r="L48" s="1">
        <f>IF(Table1[[#This Row],[Quantity_Fixed]]="two",2,IF(Table1[[#This Row],[Quantity_Fixed]]="N/A","Missing",Table1[[#This Row],[Quantity_Fixed]]))</f>
        <v>5</v>
      </c>
      <c r="M48" s="1">
        <v>4.25</v>
      </c>
      <c r="N48" s="9">
        <v>45373</v>
      </c>
      <c r="O48" s="12">
        <f>DAY(Table1[[#This Row],[TransactionDate]])</f>
        <v>22</v>
      </c>
      <c r="P48" s="15">
        <f>MONTH(Table1[[#This Row],[TransactionDate]])</f>
        <v>3</v>
      </c>
      <c r="Q48" s="12">
        <f>YEAR(Table1[[#This Row],[TransactionDate]])</f>
        <v>2024</v>
      </c>
      <c r="R48" s="9">
        <f>EOMONTH(Table1[[#This Row],[TransactionDate]],0)</f>
        <v>45382</v>
      </c>
      <c r="S48" s="1" t="s">
        <v>33</v>
      </c>
      <c r="T48" s="1">
        <f>IFERROR(Table1[[#This Row],[Quantity_Fixed]]*Table1[[#This Row],[UnitPrice]]*(1+$Y$5),"Check Quantity")</f>
        <v>22.3125</v>
      </c>
    </row>
    <row r="49" spans="1:20" x14ac:dyDescent="0.3">
      <c r="A49" s="1">
        <v>1048</v>
      </c>
      <c r="B49" s="1" t="s">
        <v>154</v>
      </c>
      <c r="C49" s="4" t="s">
        <v>303</v>
      </c>
      <c r="D49" s="1" t="s">
        <v>107</v>
      </c>
      <c r="E49" s="1" t="s">
        <v>255</v>
      </c>
      <c r="F49" s="1" t="s">
        <v>193</v>
      </c>
      <c r="G49" s="1" t="s">
        <v>194</v>
      </c>
      <c r="H49" s="5" t="s">
        <v>27</v>
      </c>
      <c r="I49" s="1" t="s">
        <v>28</v>
      </c>
      <c r="J49" s="1">
        <v>2</v>
      </c>
      <c r="K49" s="1">
        <f>COUNTA(Table1[[#This Row],[Quantity_Fixed]])</f>
        <v>1</v>
      </c>
      <c r="L49" s="1">
        <f>IF(Table1[[#This Row],[Quantity_Fixed]]="two",2,IF(Table1[[#This Row],[Quantity_Fixed]]="N/A","Missing",Table1[[#This Row],[Quantity_Fixed]]))</f>
        <v>2</v>
      </c>
      <c r="M49" s="1">
        <v>7.5</v>
      </c>
      <c r="N49" s="9">
        <v>45306</v>
      </c>
      <c r="O49" s="12">
        <f>DAY(Table1[[#This Row],[TransactionDate]])</f>
        <v>15</v>
      </c>
      <c r="P49" s="15">
        <f>MONTH(Table1[[#This Row],[TransactionDate]])</f>
        <v>1</v>
      </c>
      <c r="Q49" s="12">
        <f>YEAR(Table1[[#This Row],[TransactionDate]])</f>
        <v>2024</v>
      </c>
      <c r="R49" s="9">
        <f>EOMONTH(Table1[[#This Row],[TransactionDate]],0)</f>
        <v>45322</v>
      </c>
      <c r="S49" s="1" t="s">
        <v>64</v>
      </c>
      <c r="T49" s="1">
        <f>IFERROR(Table1[[#This Row],[Quantity_Fixed]]*Table1[[#This Row],[UnitPrice]]*(1+$Y$5),"Check Quantity")</f>
        <v>15.75</v>
      </c>
    </row>
    <row r="50" spans="1:20" x14ac:dyDescent="0.3">
      <c r="A50" s="1">
        <v>1049</v>
      </c>
      <c r="B50" s="1" t="s">
        <v>102</v>
      </c>
      <c r="C50" s="4" t="s">
        <v>346</v>
      </c>
      <c r="D50" s="1" t="s">
        <v>126</v>
      </c>
      <c r="E50" s="1" t="s">
        <v>256</v>
      </c>
      <c r="F50" s="1" t="s">
        <v>208</v>
      </c>
      <c r="G50" s="1" t="s">
        <v>209</v>
      </c>
      <c r="H50" s="5" t="s">
        <v>27</v>
      </c>
      <c r="I50" s="1" t="s">
        <v>28</v>
      </c>
      <c r="J50" s="1">
        <v>4</v>
      </c>
      <c r="K50" s="1">
        <f>COUNTA(Table1[[#This Row],[Quantity_Fixed]])</f>
        <v>1</v>
      </c>
      <c r="L50" s="1">
        <f>IF(Table1[[#This Row],[Quantity_Fixed]]="two",2,IF(Table1[[#This Row],[Quantity_Fixed]]="N/A","Missing",Table1[[#This Row],[Quantity_Fixed]]))</f>
        <v>4</v>
      </c>
      <c r="M50" s="1">
        <v>7.5</v>
      </c>
      <c r="N50" s="9">
        <v>45306</v>
      </c>
      <c r="O50" s="12">
        <f>DAY(Table1[[#This Row],[TransactionDate]])</f>
        <v>15</v>
      </c>
      <c r="P50" s="15">
        <f>MONTH(Table1[[#This Row],[TransactionDate]])</f>
        <v>1</v>
      </c>
      <c r="Q50" s="12">
        <f>YEAR(Table1[[#This Row],[TransactionDate]])</f>
        <v>2024</v>
      </c>
      <c r="R50" s="9">
        <f>EOMONTH(Table1[[#This Row],[TransactionDate]],0)</f>
        <v>45322</v>
      </c>
      <c r="S50" s="1" t="s">
        <v>22</v>
      </c>
      <c r="T50" s="1">
        <f>IFERROR(Table1[[#This Row],[Quantity_Fixed]]*Table1[[#This Row],[UnitPrice]]*(1+$Y$5),"Check Quantity")</f>
        <v>31.5</v>
      </c>
    </row>
    <row r="51" spans="1:20" x14ac:dyDescent="0.3">
      <c r="A51" s="1">
        <v>1050</v>
      </c>
      <c r="B51" s="1" t="s">
        <v>102</v>
      </c>
      <c r="C51" s="4" t="s">
        <v>347</v>
      </c>
      <c r="D51" s="1" t="s">
        <v>155</v>
      </c>
      <c r="E51" s="1" t="s">
        <v>257</v>
      </c>
      <c r="F51" s="1" t="s">
        <v>258</v>
      </c>
      <c r="G51" s="1" t="s">
        <v>259</v>
      </c>
      <c r="H51" s="5" t="s">
        <v>36</v>
      </c>
      <c r="I51" s="1" t="s">
        <v>21</v>
      </c>
      <c r="J51" s="1">
        <v>6</v>
      </c>
      <c r="K51" s="1">
        <f>COUNTA(Table1[[#This Row],[Quantity_Fixed]])</f>
        <v>1</v>
      </c>
      <c r="L51" s="1">
        <f>IF(Table1[[#This Row],[Quantity_Fixed]]="two",2,IF(Table1[[#This Row],[Quantity_Fixed]]="N/A","Missing",Table1[[#This Row],[Quantity_Fixed]]))</f>
        <v>6</v>
      </c>
      <c r="M51" s="1">
        <v>59.99</v>
      </c>
      <c r="N51" s="9">
        <v>45353</v>
      </c>
      <c r="O51" s="12">
        <f>DAY(Table1[[#This Row],[TransactionDate]])</f>
        <v>2</v>
      </c>
      <c r="P51" s="15">
        <f>MONTH(Table1[[#This Row],[TransactionDate]])</f>
        <v>3</v>
      </c>
      <c r="Q51" s="12">
        <f>YEAR(Table1[[#This Row],[TransactionDate]])</f>
        <v>2024</v>
      </c>
      <c r="R51" s="9">
        <f>EOMONTH(Table1[[#This Row],[TransactionDate]],0)</f>
        <v>45382</v>
      </c>
      <c r="S51" s="1" t="s">
        <v>22</v>
      </c>
      <c r="T51" s="1">
        <f>IFERROR(Table1[[#This Row],[Quantity_Fixed]]*Table1[[#This Row],[UnitPrice]]*(1+$Y$5),"Check Quantity")</f>
        <v>377.93700000000001</v>
      </c>
    </row>
    <row r="52" spans="1:20" x14ac:dyDescent="0.3">
      <c r="A52" s="1">
        <v>1050</v>
      </c>
      <c r="B52" s="1" t="s">
        <v>183</v>
      </c>
      <c r="C52" s="4" t="s">
        <v>347</v>
      </c>
      <c r="D52" s="1" t="s">
        <v>155</v>
      </c>
      <c r="E52" s="1" t="s">
        <v>257</v>
      </c>
      <c r="F52" s="1" t="s">
        <v>258</v>
      </c>
      <c r="G52" s="1" t="s">
        <v>259</v>
      </c>
      <c r="H52" s="5" t="s">
        <v>36</v>
      </c>
      <c r="I52" s="1" t="s">
        <v>21</v>
      </c>
      <c r="J52" s="1">
        <v>6</v>
      </c>
      <c r="K52" s="1">
        <f>COUNTA(Table1[[#This Row],[Quantity_Fixed]])</f>
        <v>1</v>
      </c>
      <c r="L52" s="1">
        <f>IF(Table1[[#This Row],[Quantity_Fixed]]="two",2,IF(Table1[[#This Row],[Quantity_Fixed]]="N/A","Missing",Table1[[#This Row],[Quantity_Fixed]]))</f>
        <v>6</v>
      </c>
      <c r="M52" s="1">
        <v>59.99</v>
      </c>
      <c r="N52" s="9">
        <v>45353</v>
      </c>
      <c r="O52" s="12">
        <f>DAY(Table1[[#This Row],[TransactionDate]])</f>
        <v>2</v>
      </c>
      <c r="P52" s="15">
        <f>MONTH(Table1[[#This Row],[TransactionDate]])</f>
        <v>3</v>
      </c>
      <c r="Q52" s="12">
        <f>YEAR(Table1[[#This Row],[TransactionDate]])</f>
        <v>2024</v>
      </c>
      <c r="R52" s="9">
        <f>EOMONTH(Table1[[#This Row],[TransactionDate]],0)</f>
        <v>45382</v>
      </c>
      <c r="S52" s="1" t="s">
        <v>22</v>
      </c>
      <c r="T52" s="1">
        <f>IFERROR(Table1[[#This Row],[Quantity_Fixed]]*Table1[[#This Row],[UnitPrice]]*(1+$Y$5),"Check Quantity")</f>
        <v>377.93700000000001</v>
      </c>
    </row>
    <row r="53" spans="1:20" x14ac:dyDescent="0.3">
      <c r="A53" s="1">
        <v>1051</v>
      </c>
      <c r="B53" s="1" t="s">
        <v>91</v>
      </c>
      <c r="C53" s="4" t="s">
        <v>348</v>
      </c>
      <c r="D53" s="1"/>
      <c r="E53" s="1" t="s">
        <v>260</v>
      </c>
      <c r="F53" s="1" t="s">
        <v>299</v>
      </c>
      <c r="G53" s="1">
        <v>4000</v>
      </c>
      <c r="H53" s="5" t="s">
        <v>27</v>
      </c>
      <c r="I53" s="1" t="s">
        <v>28</v>
      </c>
      <c r="J53" s="1">
        <v>1</v>
      </c>
      <c r="K53" s="1">
        <f>COUNTA(Table1[[#This Row],[Quantity_Fixed]])</f>
        <v>1</v>
      </c>
      <c r="L53" s="1">
        <f>IF(Table1[[#This Row],[Quantity_Fixed]]="two",2,IF(Table1[[#This Row],[Quantity_Fixed]]="N/A","Missing",Table1[[#This Row],[Quantity_Fixed]]))</f>
        <v>1</v>
      </c>
      <c r="M53" s="1">
        <v>7.5</v>
      </c>
      <c r="N53" s="10">
        <v>45373</v>
      </c>
      <c r="O53" s="13">
        <f>DAY(Table1[[#This Row],[TransactionDate]])</f>
        <v>22</v>
      </c>
      <c r="P53" s="16">
        <f>MONTH(Table1[[#This Row],[TransactionDate]])</f>
        <v>3</v>
      </c>
      <c r="Q53" s="13">
        <f>YEAR(Table1[[#This Row],[TransactionDate]])</f>
        <v>2024</v>
      </c>
      <c r="R53" s="10">
        <f>EOMONTH(Table1[[#This Row],[TransactionDate]],0)</f>
        <v>45382</v>
      </c>
      <c r="S53" s="1" t="s">
        <v>11</v>
      </c>
      <c r="T53" s="1">
        <f>IFERROR(Table1[[#This Row],[Quantity_Fixed]]*Table1[[#This Row],[UnitPrice]]*(1+$Y$5),"Check Quantity")</f>
        <v>7.875</v>
      </c>
    </row>
    <row r="54" spans="1:20" x14ac:dyDescent="0.3">
      <c r="A54" s="1">
        <v>1051</v>
      </c>
      <c r="B54" s="1" t="s">
        <v>93</v>
      </c>
      <c r="C54" s="4" t="s">
        <v>348</v>
      </c>
      <c r="D54" s="1"/>
      <c r="E54" s="1" t="s">
        <v>260</v>
      </c>
      <c r="F54" s="1" t="s">
        <v>299</v>
      </c>
      <c r="G54" s="1">
        <v>4000</v>
      </c>
      <c r="H54" s="5" t="s">
        <v>27</v>
      </c>
      <c r="I54" s="1" t="s">
        <v>28</v>
      </c>
      <c r="J54" s="1">
        <v>1</v>
      </c>
      <c r="K54" s="1">
        <f>COUNTA(Table1[[#This Row],[Quantity_Fixed]])</f>
        <v>1</v>
      </c>
      <c r="L54" s="1">
        <f>IF(Table1[[#This Row],[Quantity_Fixed]]="two",2,IF(Table1[[#This Row],[Quantity_Fixed]]="N/A","Missing",Table1[[#This Row],[Quantity_Fixed]]))</f>
        <v>1</v>
      </c>
      <c r="M54" s="1">
        <v>7.5</v>
      </c>
      <c r="N54" s="10">
        <v>45373</v>
      </c>
      <c r="O54" s="13">
        <f>DAY(Table1[[#This Row],[TransactionDate]])</f>
        <v>22</v>
      </c>
      <c r="P54" s="16">
        <f>MONTH(Table1[[#This Row],[TransactionDate]])</f>
        <v>3</v>
      </c>
      <c r="Q54" s="13">
        <f>YEAR(Table1[[#This Row],[TransactionDate]])</f>
        <v>2024</v>
      </c>
      <c r="R54" s="10">
        <f>EOMONTH(Table1[[#This Row],[TransactionDate]],0)</f>
        <v>45382</v>
      </c>
      <c r="S54" s="1" t="s">
        <v>11</v>
      </c>
      <c r="T54" s="1">
        <f>IFERROR(Table1[[#This Row],[Quantity_Fixed]]*Table1[[#This Row],[UnitPrice]]*(1+$Y$5),"Check Quantity")</f>
        <v>7.875</v>
      </c>
    </row>
    <row r="55" spans="1:20" x14ac:dyDescent="0.3">
      <c r="A55" s="1">
        <v>1052</v>
      </c>
      <c r="B55" s="1" t="s">
        <v>169</v>
      </c>
      <c r="C55" s="4" t="s">
        <v>304</v>
      </c>
      <c r="D55" s="1" t="s">
        <v>88</v>
      </c>
      <c r="E55" s="1" t="s">
        <v>261</v>
      </c>
      <c r="F55" s="1" t="s">
        <v>220</v>
      </c>
      <c r="G55" s="1" t="s">
        <v>221</v>
      </c>
      <c r="H55" s="5" t="s">
        <v>36</v>
      </c>
      <c r="I55" s="1" t="s">
        <v>21</v>
      </c>
      <c r="J55" s="1">
        <v>6</v>
      </c>
      <c r="K55" s="1">
        <f>COUNTA(Table1[[#This Row],[Quantity_Fixed]])</f>
        <v>1</v>
      </c>
      <c r="L55" s="1">
        <f>IF(Table1[[#This Row],[Quantity_Fixed]]="two",2,IF(Table1[[#This Row],[Quantity_Fixed]]="N/A","Missing",Table1[[#This Row],[Quantity_Fixed]]))</f>
        <v>6</v>
      </c>
      <c r="M55" s="1">
        <v>59.99</v>
      </c>
      <c r="N55" s="9">
        <v>45306</v>
      </c>
      <c r="O55" s="12">
        <f>DAY(Table1[[#This Row],[TransactionDate]])</f>
        <v>15</v>
      </c>
      <c r="P55" s="15">
        <f>MONTH(Table1[[#This Row],[TransactionDate]])</f>
        <v>1</v>
      </c>
      <c r="Q55" s="12">
        <f>YEAR(Table1[[#This Row],[TransactionDate]])</f>
        <v>2024</v>
      </c>
      <c r="R55" s="9">
        <f>EOMONTH(Table1[[#This Row],[TransactionDate]],0)</f>
        <v>45322</v>
      </c>
      <c r="S55" s="1" t="s">
        <v>68</v>
      </c>
      <c r="T55" s="1">
        <f>IFERROR(Table1[[#This Row],[Quantity_Fixed]]*Table1[[#This Row],[UnitPrice]]*(1+$Y$5),"Check Quantity")</f>
        <v>377.93700000000001</v>
      </c>
    </row>
    <row r="56" spans="1:20" x14ac:dyDescent="0.3">
      <c r="A56" s="1">
        <v>1053</v>
      </c>
      <c r="B56" s="1" t="s">
        <v>145</v>
      </c>
      <c r="C56" s="4" t="s">
        <v>349</v>
      </c>
      <c r="D56" s="1" t="s">
        <v>92</v>
      </c>
      <c r="E56" s="1" t="s">
        <v>262</v>
      </c>
      <c r="F56" s="1" t="s">
        <v>208</v>
      </c>
      <c r="G56" s="1" t="s">
        <v>209</v>
      </c>
      <c r="H56" s="5" t="s">
        <v>36</v>
      </c>
      <c r="I56" s="1" t="s">
        <v>21</v>
      </c>
      <c r="J56" s="1">
        <v>2</v>
      </c>
      <c r="K56" s="1">
        <f>COUNTA(Table1[[#This Row],[Quantity_Fixed]])</f>
        <v>1</v>
      </c>
      <c r="L56" s="1">
        <f>IF(Table1[[#This Row],[Quantity_Fixed]]="two",2,IF(Table1[[#This Row],[Quantity_Fixed]]="N/A","Missing",Table1[[#This Row],[Quantity_Fixed]]))</f>
        <v>2</v>
      </c>
      <c r="M56" s="1">
        <v>59.99</v>
      </c>
      <c r="N56" s="9">
        <v>45325</v>
      </c>
      <c r="O56" s="12">
        <f>DAY(Table1[[#This Row],[TransactionDate]])</f>
        <v>3</v>
      </c>
      <c r="P56" s="15">
        <f>MONTH(Table1[[#This Row],[TransactionDate]])</f>
        <v>2</v>
      </c>
      <c r="Q56" s="12">
        <f>YEAR(Table1[[#This Row],[TransactionDate]])</f>
        <v>2024</v>
      </c>
      <c r="R56" s="9">
        <f>EOMONTH(Table1[[#This Row],[TransactionDate]],0)</f>
        <v>45351</v>
      </c>
      <c r="S56" s="1" t="s">
        <v>11</v>
      </c>
      <c r="T56" s="1">
        <f>IFERROR(Table1[[#This Row],[Quantity_Fixed]]*Table1[[#This Row],[UnitPrice]]*(1+$Y$5),"Check Quantity")</f>
        <v>125.97900000000001</v>
      </c>
    </row>
    <row r="57" spans="1:20" x14ac:dyDescent="0.3">
      <c r="A57" s="1">
        <v>1054</v>
      </c>
      <c r="B57" s="1" t="s">
        <v>34</v>
      </c>
      <c r="C57" s="4" t="s">
        <v>350</v>
      </c>
      <c r="D57" s="1"/>
      <c r="E57" s="1" t="s">
        <v>263</v>
      </c>
      <c r="F57" s="1" t="s">
        <v>220</v>
      </c>
      <c r="G57" s="1" t="s">
        <v>221</v>
      </c>
      <c r="H57" s="5" t="s">
        <v>17</v>
      </c>
      <c r="I57" s="1" t="s">
        <v>18</v>
      </c>
      <c r="J57" s="1">
        <v>3</v>
      </c>
      <c r="K57" s="1">
        <f>COUNTA(Table1[[#This Row],[Quantity_Fixed]])</f>
        <v>1</v>
      </c>
      <c r="L57" s="1">
        <f>IF(Table1[[#This Row],[Quantity_Fixed]]="two",2,IF(Table1[[#This Row],[Quantity_Fixed]]="N/A","Missing",Table1[[#This Row],[Quantity_Fixed]]))</f>
        <v>3</v>
      </c>
      <c r="M57" s="1">
        <v>68</v>
      </c>
      <c r="N57" s="9">
        <v>45306</v>
      </c>
      <c r="O57" s="12">
        <f>DAY(Table1[[#This Row],[TransactionDate]])</f>
        <v>15</v>
      </c>
      <c r="P57" s="15">
        <f>MONTH(Table1[[#This Row],[TransactionDate]])</f>
        <v>1</v>
      </c>
      <c r="Q57" s="12">
        <f>YEAR(Table1[[#This Row],[TransactionDate]])</f>
        <v>2024</v>
      </c>
      <c r="R57" s="9">
        <f>EOMONTH(Table1[[#This Row],[TransactionDate]],0)</f>
        <v>45322</v>
      </c>
      <c r="S57" s="1" t="s">
        <v>14</v>
      </c>
      <c r="T57" s="1">
        <f>IFERROR(Table1[[#This Row],[Quantity_Fixed]]*Table1[[#This Row],[UnitPrice]]*(1+$Y$5),"Check Quantity")</f>
        <v>214.20000000000002</v>
      </c>
    </row>
    <row r="58" spans="1:20" x14ac:dyDescent="0.3">
      <c r="A58" s="1">
        <v>1055</v>
      </c>
      <c r="B58" s="1" t="s">
        <v>170</v>
      </c>
      <c r="C58" s="4" t="s">
        <v>351</v>
      </c>
      <c r="D58" s="1" t="s">
        <v>19</v>
      </c>
      <c r="E58" s="1" t="s">
        <v>264</v>
      </c>
      <c r="F58" s="1" t="s">
        <v>190</v>
      </c>
      <c r="G58" s="1" t="s">
        <v>191</v>
      </c>
      <c r="H58" s="5" t="s">
        <v>20</v>
      </c>
      <c r="I58" s="1" t="s">
        <v>21</v>
      </c>
      <c r="J58" s="1">
        <v>1</v>
      </c>
      <c r="K58" s="1">
        <f>COUNTA(Table1[[#This Row],[Quantity_Fixed]])</f>
        <v>1</v>
      </c>
      <c r="L58" s="1">
        <f>IF(Table1[[#This Row],[Quantity_Fixed]]="two",2,IF(Table1[[#This Row],[Quantity_Fixed]]="N/A","Missing",Table1[[#This Row],[Quantity_Fixed]]))</f>
        <v>1</v>
      </c>
      <c r="M58" s="1">
        <v>41.2</v>
      </c>
      <c r="N58" s="9">
        <v>45353</v>
      </c>
      <c r="O58" s="12">
        <f>DAY(Table1[[#This Row],[TransactionDate]])</f>
        <v>2</v>
      </c>
      <c r="P58" s="15">
        <f>MONTH(Table1[[#This Row],[TransactionDate]])</f>
        <v>3</v>
      </c>
      <c r="Q58" s="12">
        <f>YEAR(Table1[[#This Row],[TransactionDate]])</f>
        <v>2024</v>
      </c>
      <c r="R58" s="9">
        <f>EOMONTH(Table1[[#This Row],[TransactionDate]],0)</f>
        <v>45382</v>
      </c>
      <c r="S58" s="1" t="s">
        <v>22</v>
      </c>
      <c r="T58" s="1">
        <f>IFERROR(Table1[[#This Row],[Quantity_Fixed]]*Table1[[#This Row],[UnitPrice]]*(1+$Y$5),"Check Quantity")</f>
        <v>43.260000000000005</v>
      </c>
    </row>
    <row r="59" spans="1:20" x14ac:dyDescent="0.3">
      <c r="A59" s="1">
        <v>1056</v>
      </c>
      <c r="B59" s="1" t="s">
        <v>7</v>
      </c>
      <c r="C59" s="4" t="s">
        <v>352</v>
      </c>
      <c r="D59" s="1"/>
      <c r="E59" s="1" t="s">
        <v>265</v>
      </c>
      <c r="F59" s="1" t="s">
        <v>190</v>
      </c>
      <c r="G59" s="1" t="s">
        <v>191</v>
      </c>
      <c r="H59" s="5" t="s">
        <v>146</v>
      </c>
      <c r="I59" s="1" t="s">
        <v>21</v>
      </c>
      <c r="J59" s="1">
        <v>6</v>
      </c>
      <c r="K59" s="1">
        <f>COUNTA(Table1[[#This Row],[Quantity_Fixed]])</f>
        <v>1</v>
      </c>
      <c r="L59" s="1">
        <f>IF(Table1[[#This Row],[Quantity_Fixed]]="two",2,IF(Table1[[#This Row],[Quantity_Fixed]]="N/A","Missing",Table1[[#This Row],[Quantity_Fixed]]))</f>
        <v>6</v>
      </c>
      <c r="M59" s="1">
        <v>34.5</v>
      </c>
      <c r="N59" s="9" t="s">
        <v>29</v>
      </c>
      <c r="O59" s="12" t="e">
        <f>DAY(Table1[[#This Row],[TransactionDate]])</f>
        <v>#VALUE!</v>
      </c>
      <c r="P59" s="15" t="e">
        <f>MONTH(Table1[[#This Row],[TransactionDate]])</f>
        <v>#VALUE!</v>
      </c>
      <c r="Q59" s="12" t="e">
        <f>YEAR(Table1[[#This Row],[TransactionDate]])</f>
        <v>#VALUE!</v>
      </c>
      <c r="R59" s="9" t="e">
        <f>EOMONTH(Table1[[#This Row],[TransactionDate]],0)</f>
        <v>#VALUE!</v>
      </c>
      <c r="S59" s="1" t="s">
        <v>64</v>
      </c>
      <c r="T59" s="1">
        <f>IFERROR(Table1[[#This Row],[Quantity_Fixed]]*Table1[[#This Row],[UnitPrice]]*(1+$Y$5),"Check Quantity")</f>
        <v>217.35000000000002</v>
      </c>
    </row>
    <row r="60" spans="1:20" x14ac:dyDescent="0.3">
      <c r="A60" s="1">
        <v>1057</v>
      </c>
      <c r="B60" s="1" t="s">
        <v>65</v>
      </c>
      <c r="C60" s="4" t="s">
        <v>353</v>
      </c>
      <c r="D60" s="1" t="s">
        <v>35</v>
      </c>
      <c r="E60" s="1" t="s">
        <v>266</v>
      </c>
      <c r="F60" s="1" t="s">
        <v>208</v>
      </c>
      <c r="G60" s="1" t="s">
        <v>209</v>
      </c>
      <c r="H60" s="5" t="s">
        <v>36</v>
      </c>
      <c r="I60" s="1" t="s">
        <v>21</v>
      </c>
      <c r="J60" s="1">
        <v>8</v>
      </c>
      <c r="K60" s="1">
        <f>COUNTA(Table1[[#This Row],[Quantity_Fixed]])</f>
        <v>1</v>
      </c>
      <c r="L60" s="1">
        <f>IF(Table1[[#This Row],[Quantity_Fixed]]="two",2,IF(Table1[[#This Row],[Quantity_Fixed]]="N/A","Missing",Table1[[#This Row],[Quantity_Fixed]]))</f>
        <v>8</v>
      </c>
      <c r="M60" s="1">
        <v>59.99</v>
      </c>
      <c r="N60" s="9">
        <v>45306</v>
      </c>
      <c r="O60" s="12">
        <f>DAY(Table1[[#This Row],[TransactionDate]])</f>
        <v>15</v>
      </c>
      <c r="P60" s="15">
        <f>MONTH(Table1[[#This Row],[TransactionDate]])</f>
        <v>1</v>
      </c>
      <c r="Q60" s="12">
        <f>YEAR(Table1[[#This Row],[TransactionDate]])</f>
        <v>2024</v>
      </c>
      <c r="R60" s="9">
        <f>EOMONTH(Table1[[#This Row],[TransactionDate]],0)</f>
        <v>45322</v>
      </c>
      <c r="S60" s="1" t="s">
        <v>14</v>
      </c>
      <c r="T60" s="1">
        <f>IFERROR(Table1[[#This Row],[Quantity_Fixed]]*Table1[[#This Row],[UnitPrice]]*(1+$Y$5),"Check Quantity")</f>
        <v>503.91600000000005</v>
      </c>
    </row>
    <row r="61" spans="1:20" x14ac:dyDescent="0.3">
      <c r="A61" s="1">
        <v>1058</v>
      </c>
      <c r="B61" s="1" t="s">
        <v>171</v>
      </c>
      <c r="C61" s="1"/>
      <c r="D61" s="1" t="s">
        <v>134</v>
      </c>
      <c r="E61" s="1" t="s">
        <v>267</v>
      </c>
      <c r="F61" s="1" t="s">
        <v>190</v>
      </c>
      <c r="G61" s="1" t="s">
        <v>191</v>
      </c>
      <c r="H61" s="5" t="s">
        <v>39</v>
      </c>
      <c r="I61" s="1" t="s">
        <v>40</v>
      </c>
      <c r="J61" s="1">
        <v>1</v>
      </c>
      <c r="K61" s="1">
        <f>COUNTA(Table1[[#This Row],[Quantity_Fixed]])</f>
        <v>1</v>
      </c>
      <c r="L61" s="1">
        <f>IF(Table1[[#This Row],[Quantity_Fixed]]="two",2,IF(Table1[[#This Row],[Quantity_Fixed]]="N/A","Missing",Table1[[#This Row],[Quantity_Fixed]]))</f>
        <v>1</v>
      </c>
      <c r="M61" s="1">
        <v>45</v>
      </c>
      <c r="N61" s="9">
        <v>45306</v>
      </c>
      <c r="O61" s="12">
        <f>DAY(Table1[[#This Row],[TransactionDate]])</f>
        <v>15</v>
      </c>
      <c r="P61" s="15">
        <f>MONTH(Table1[[#This Row],[TransactionDate]])</f>
        <v>1</v>
      </c>
      <c r="Q61" s="12">
        <f>YEAR(Table1[[#This Row],[TransactionDate]])</f>
        <v>2024</v>
      </c>
      <c r="R61" s="9">
        <f>EOMONTH(Table1[[#This Row],[TransactionDate]],0)</f>
        <v>45322</v>
      </c>
      <c r="S61" s="1" t="s">
        <v>22</v>
      </c>
      <c r="T61" s="1">
        <f>IFERROR(Table1[[#This Row],[Quantity_Fixed]]*Table1[[#This Row],[UnitPrice]]*(1+$Y$5),"Check Quantity")</f>
        <v>47.25</v>
      </c>
    </row>
    <row r="62" spans="1:20" x14ac:dyDescent="0.3">
      <c r="A62" s="1">
        <v>1059</v>
      </c>
      <c r="B62" s="1" t="s">
        <v>172</v>
      </c>
      <c r="C62" s="4" t="s">
        <v>305</v>
      </c>
      <c r="D62" s="1" t="s">
        <v>8</v>
      </c>
      <c r="E62" s="1" t="s">
        <v>268</v>
      </c>
      <c r="F62" s="1" t="s">
        <v>298</v>
      </c>
      <c r="G62" s="1">
        <v>1000</v>
      </c>
      <c r="H62" s="5" t="s">
        <v>9</v>
      </c>
      <c r="I62" s="1" t="s">
        <v>10</v>
      </c>
      <c r="J62" s="1">
        <v>5</v>
      </c>
      <c r="K62" s="1">
        <f>COUNTA(Table1[[#This Row],[Quantity_Fixed]])</f>
        <v>1</v>
      </c>
      <c r="L62" s="1">
        <f>IF(Table1[[#This Row],[Quantity_Fixed]]="two",2,IF(Table1[[#This Row],[Quantity_Fixed]]="N/A","Missing",Table1[[#This Row],[Quantity_Fixed]]))</f>
        <v>5</v>
      </c>
      <c r="M62" s="1">
        <v>22.75</v>
      </c>
      <c r="N62" s="9">
        <v>45306</v>
      </c>
      <c r="O62" s="12">
        <f>DAY(Table1[[#This Row],[TransactionDate]])</f>
        <v>15</v>
      </c>
      <c r="P62" s="15">
        <f>MONTH(Table1[[#This Row],[TransactionDate]])</f>
        <v>1</v>
      </c>
      <c r="Q62" s="12">
        <f>YEAR(Table1[[#This Row],[TransactionDate]])</f>
        <v>2024</v>
      </c>
      <c r="R62" s="9">
        <f>EOMONTH(Table1[[#This Row],[TransactionDate]],0)</f>
        <v>45322</v>
      </c>
      <c r="S62" s="1" t="s">
        <v>11</v>
      </c>
      <c r="T62" s="1">
        <f>IFERROR(Table1[[#This Row],[Quantity_Fixed]]*Table1[[#This Row],[UnitPrice]]*(1+$Y$5),"Check Quantity")</f>
        <v>119.4375</v>
      </c>
    </row>
    <row r="63" spans="1:20" x14ac:dyDescent="0.3">
      <c r="A63" s="1">
        <v>1061</v>
      </c>
      <c r="B63" s="1" t="s">
        <v>173</v>
      </c>
      <c r="C63" s="4" t="s">
        <v>306</v>
      </c>
      <c r="D63" s="1" t="s">
        <v>75</v>
      </c>
      <c r="E63" s="1" t="s">
        <v>269</v>
      </c>
      <c r="F63" s="1" t="s">
        <v>196</v>
      </c>
      <c r="G63" s="1" t="s">
        <v>197</v>
      </c>
      <c r="H63" s="5" t="s">
        <v>42</v>
      </c>
      <c r="I63" s="1" t="s">
        <v>10</v>
      </c>
      <c r="J63" s="1">
        <v>7</v>
      </c>
      <c r="K63" s="1">
        <f>COUNTA(Table1[[#This Row],[Quantity_Fixed]])</f>
        <v>1</v>
      </c>
      <c r="L63" s="1">
        <f>IF(Table1[[#This Row],[Quantity_Fixed]]="two",2,IF(Table1[[#This Row],[Quantity_Fixed]]="N/A","Missing",Table1[[#This Row],[Quantity_Fixed]]))</f>
        <v>7</v>
      </c>
      <c r="M63" s="1">
        <v>129</v>
      </c>
      <c r="N63" s="9">
        <v>45306</v>
      </c>
      <c r="O63" s="12">
        <f>DAY(Table1[[#This Row],[TransactionDate]])</f>
        <v>15</v>
      </c>
      <c r="P63" s="15">
        <f>MONTH(Table1[[#This Row],[TransactionDate]])</f>
        <v>1</v>
      </c>
      <c r="Q63" s="12">
        <f>YEAR(Table1[[#This Row],[TransactionDate]])</f>
        <v>2024</v>
      </c>
      <c r="R63" s="9">
        <f>EOMONTH(Table1[[#This Row],[TransactionDate]],0)</f>
        <v>45322</v>
      </c>
      <c r="S63" s="1" t="s">
        <v>64</v>
      </c>
      <c r="T63" s="1">
        <f>IFERROR(Table1[[#This Row],[Quantity_Fixed]]*Table1[[#This Row],[UnitPrice]]*(1+$Y$5),"Check Quantity")</f>
        <v>948.15000000000009</v>
      </c>
    </row>
    <row r="64" spans="1:20" x14ac:dyDescent="0.3">
      <c r="A64" s="1">
        <v>1062</v>
      </c>
      <c r="B64" s="1" t="s">
        <v>150</v>
      </c>
      <c r="C64" s="4" t="s">
        <v>354</v>
      </c>
      <c r="D64" s="1" t="s">
        <v>105</v>
      </c>
      <c r="E64" s="1" t="s">
        <v>270</v>
      </c>
      <c r="F64" s="1" t="s">
        <v>190</v>
      </c>
      <c r="G64" s="1" t="s">
        <v>191</v>
      </c>
      <c r="H64" s="5" t="s">
        <v>106</v>
      </c>
      <c r="I64" s="1" t="s">
        <v>10</v>
      </c>
      <c r="J64" s="1">
        <v>8</v>
      </c>
      <c r="K64" s="1">
        <f>COUNTA(Table1[[#This Row],[Quantity_Fixed]])</f>
        <v>1</v>
      </c>
      <c r="L64" s="1">
        <f>IF(Table1[[#This Row],[Quantity_Fixed]]="two",2,IF(Table1[[#This Row],[Quantity_Fixed]]="N/A","Missing",Table1[[#This Row],[Quantity_Fixed]]))</f>
        <v>8</v>
      </c>
      <c r="M64" s="1">
        <v>27.3</v>
      </c>
      <c r="N64" s="9">
        <v>45306</v>
      </c>
      <c r="O64" s="12">
        <f>DAY(Table1[[#This Row],[TransactionDate]])</f>
        <v>15</v>
      </c>
      <c r="P64" s="15">
        <f>MONTH(Table1[[#This Row],[TransactionDate]])</f>
        <v>1</v>
      </c>
      <c r="Q64" s="12">
        <f>YEAR(Table1[[#This Row],[TransactionDate]])</f>
        <v>2024</v>
      </c>
      <c r="R64" s="9">
        <f>EOMONTH(Table1[[#This Row],[TransactionDate]],0)</f>
        <v>45322</v>
      </c>
      <c r="S64" s="1" t="s">
        <v>64</v>
      </c>
      <c r="T64" s="1">
        <f>IFERROR(Table1[[#This Row],[Quantity_Fixed]]*Table1[[#This Row],[UnitPrice]]*(1+$Y$5),"Check Quantity")</f>
        <v>229.32000000000002</v>
      </c>
    </row>
    <row r="65" spans="1:20" x14ac:dyDescent="0.3">
      <c r="A65" s="1">
        <v>1063</v>
      </c>
      <c r="B65" s="1" t="s">
        <v>184</v>
      </c>
      <c r="C65" s="4" t="s">
        <v>355</v>
      </c>
      <c r="D65" s="1" t="s">
        <v>133</v>
      </c>
      <c r="E65" s="1" t="s">
        <v>271</v>
      </c>
      <c r="F65" s="1" t="s">
        <v>226</v>
      </c>
      <c r="G65" s="1" t="s">
        <v>227</v>
      </c>
      <c r="H65" s="5" t="s">
        <v>39</v>
      </c>
      <c r="I65" s="1" t="s">
        <v>40</v>
      </c>
      <c r="J65" s="1">
        <v>3</v>
      </c>
      <c r="K65" s="1">
        <f>COUNTA(Table1[[#This Row],[Quantity_Fixed]])</f>
        <v>1</v>
      </c>
      <c r="L65" s="1">
        <f>IF(Table1[[#This Row],[Quantity_Fixed]]="two",2,IF(Table1[[#This Row],[Quantity_Fixed]]="N/A","Missing",Table1[[#This Row],[Quantity_Fixed]]))</f>
        <v>3</v>
      </c>
      <c r="M65" s="1">
        <v>45</v>
      </c>
      <c r="N65" s="9">
        <v>45306</v>
      </c>
      <c r="O65" s="12">
        <f>DAY(Table1[[#This Row],[TransactionDate]])</f>
        <v>15</v>
      </c>
      <c r="P65" s="15">
        <f>MONTH(Table1[[#This Row],[TransactionDate]])</f>
        <v>1</v>
      </c>
      <c r="Q65" s="12">
        <f>YEAR(Table1[[#This Row],[TransactionDate]])</f>
        <v>2024</v>
      </c>
      <c r="R65" s="9">
        <f>EOMONTH(Table1[[#This Row],[TransactionDate]],0)</f>
        <v>45322</v>
      </c>
      <c r="S65" s="1" t="s">
        <v>68</v>
      </c>
      <c r="T65" s="1">
        <f>IFERROR(Table1[[#This Row],[Quantity_Fixed]]*Table1[[#This Row],[UnitPrice]]*(1+$Y$5),"Check Quantity")</f>
        <v>141.75</v>
      </c>
    </row>
    <row r="66" spans="1:20" x14ac:dyDescent="0.3">
      <c r="A66" s="1">
        <v>1064</v>
      </c>
      <c r="B66" s="1" t="s">
        <v>174</v>
      </c>
      <c r="C66" s="4" t="s">
        <v>356</v>
      </c>
      <c r="D66" s="1" t="s">
        <v>31</v>
      </c>
      <c r="E66" s="1" t="s">
        <v>272</v>
      </c>
      <c r="F66" s="1" t="s">
        <v>235</v>
      </c>
      <c r="G66" s="1" t="s">
        <v>236</v>
      </c>
      <c r="H66" s="5" t="s">
        <v>32</v>
      </c>
      <c r="I66" s="1" t="s">
        <v>21</v>
      </c>
      <c r="J66" s="1">
        <v>3</v>
      </c>
      <c r="K66" s="1">
        <f>COUNTA(Table1[[#This Row],[Quantity_Fixed]])</f>
        <v>1</v>
      </c>
      <c r="L66" s="1">
        <f>IF(Table1[[#This Row],[Quantity_Fixed]]="two",2,IF(Table1[[#This Row],[Quantity_Fixed]]="N/A","Missing",Table1[[#This Row],[Quantity_Fixed]]))</f>
        <v>3</v>
      </c>
      <c r="M66" s="1">
        <v>15.99</v>
      </c>
      <c r="N66" s="9">
        <v>45306</v>
      </c>
      <c r="O66" s="12">
        <f>DAY(Table1[[#This Row],[TransactionDate]])</f>
        <v>15</v>
      </c>
      <c r="P66" s="15">
        <f>MONTH(Table1[[#This Row],[TransactionDate]])</f>
        <v>1</v>
      </c>
      <c r="Q66" s="12">
        <f>YEAR(Table1[[#This Row],[TransactionDate]])</f>
        <v>2024</v>
      </c>
      <c r="R66" s="9">
        <f>EOMONTH(Table1[[#This Row],[TransactionDate]],0)</f>
        <v>45322</v>
      </c>
      <c r="S66" s="1" t="s">
        <v>33</v>
      </c>
      <c r="T66" s="1">
        <f>IFERROR(Table1[[#This Row],[Quantity_Fixed]]*Table1[[#This Row],[UnitPrice]]*(1+$Y$5),"Check Quantity")</f>
        <v>50.368499999999997</v>
      </c>
    </row>
    <row r="67" spans="1:20" x14ac:dyDescent="0.3">
      <c r="A67" s="1">
        <v>1066</v>
      </c>
      <c r="B67" s="1" t="s">
        <v>185</v>
      </c>
      <c r="C67" s="4" t="s">
        <v>357</v>
      </c>
      <c r="D67" s="1" t="s">
        <v>116</v>
      </c>
      <c r="E67" s="1" t="s">
        <v>273</v>
      </c>
      <c r="F67" s="1" t="s">
        <v>205</v>
      </c>
      <c r="G67" s="1" t="s">
        <v>206</v>
      </c>
      <c r="H67" s="5" t="s">
        <v>42</v>
      </c>
      <c r="I67" s="1" t="s">
        <v>10</v>
      </c>
      <c r="J67" s="1">
        <v>6</v>
      </c>
      <c r="K67" s="1">
        <f>COUNTA(Table1[[#This Row],[Quantity_Fixed]])</f>
        <v>1</v>
      </c>
      <c r="L67" s="1">
        <f>IF(Table1[[#This Row],[Quantity_Fixed]]="two",2,IF(Table1[[#This Row],[Quantity_Fixed]]="N/A","Missing",Table1[[#This Row],[Quantity_Fixed]]))</f>
        <v>6</v>
      </c>
      <c r="M67" s="1">
        <v>129</v>
      </c>
      <c r="N67" s="9">
        <v>45306</v>
      </c>
      <c r="O67" s="12">
        <f>DAY(Table1[[#This Row],[TransactionDate]])</f>
        <v>15</v>
      </c>
      <c r="P67" s="15">
        <f>MONTH(Table1[[#This Row],[TransactionDate]])</f>
        <v>1</v>
      </c>
      <c r="Q67" s="12">
        <f>YEAR(Table1[[#This Row],[TransactionDate]])</f>
        <v>2024</v>
      </c>
      <c r="R67" s="9">
        <f>EOMONTH(Table1[[#This Row],[TransactionDate]],0)</f>
        <v>45322</v>
      </c>
      <c r="S67" s="1" t="s">
        <v>22</v>
      </c>
      <c r="T67" s="1">
        <f>IFERROR(Table1[[#This Row],[Quantity_Fixed]]*Table1[[#This Row],[UnitPrice]]*(1+$Y$5),"Check Quantity")</f>
        <v>812.7</v>
      </c>
    </row>
    <row r="68" spans="1:20" x14ac:dyDescent="0.3">
      <c r="A68" s="1">
        <v>1067</v>
      </c>
      <c r="B68" s="1" t="s">
        <v>83</v>
      </c>
      <c r="C68" s="4" t="s">
        <v>358</v>
      </c>
      <c r="D68" s="1" t="s">
        <v>47</v>
      </c>
      <c r="E68" s="1" t="s">
        <v>274</v>
      </c>
      <c r="F68" s="1" t="s">
        <v>226</v>
      </c>
      <c r="G68" s="1" t="s">
        <v>227</v>
      </c>
      <c r="H68" s="5" t="s">
        <v>27</v>
      </c>
      <c r="I68" s="1" t="s">
        <v>28</v>
      </c>
      <c r="J68" s="1">
        <v>2</v>
      </c>
      <c r="K68" s="1">
        <f>COUNTA(Table1[[#This Row],[Quantity_Fixed]])</f>
        <v>1</v>
      </c>
      <c r="L68" s="1">
        <f>IF(Table1[[#This Row],[Quantity_Fixed]]="two",2,IF(Table1[[#This Row],[Quantity_Fixed]]="N/A","Missing",Table1[[#This Row],[Quantity_Fixed]]))</f>
        <v>2</v>
      </c>
      <c r="M68" s="1">
        <v>7.5</v>
      </c>
      <c r="N68" s="10">
        <v>45373</v>
      </c>
      <c r="O68" s="13">
        <f>DAY(Table1[[#This Row],[TransactionDate]])</f>
        <v>22</v>
      </c>
      <c r="P68" s="16">
        <f>MONTH(Table1[[#This Row],[TransactionDate]])</f>
        <v>3</v>
      </c>
      <c r="Q68" s="13">
        <f>YEAR(Table1[[#This Row],[TransactionDate]])</f>
        <v>2024</v>
      </c>
      <c r="R68" s="10">
        <f>EOMONTH(Table1[[#This Row],[TransactionDate]],0)</f>
        <v>45382</v>
      </c>
      <c r="S68" s="1" t="s">
        <v>14</v>
      </c>
      <c r="T68" s="1">
        <f>IFERROR(Table1[[#This Row],[Quantity_Fixed]]*Table1[[#This Row],[UnitPrice]]*(1+$Y$5),"Check Quantity")</f>
        <v>15.75</v>
      </c>
    </row>
    <row r="69" spans="1:20" x14ac:dyDescent="0.3">
      <c r="A69" s="1">
        <v>1068</v>
      </c>
      <c r="B69" s="1" t="s">
        <v>83</v>
      </c>
      <c r="C69" s="1"/>
      <c r="D69" s="1" t="s">
        <v>46</v>
      </c>
      <c r="E69" s="1" t="s">
        <v>275</v>
      </c>
      <c r="F69" s="1" t="s">
        <v>276</v>
      </c>
      <c r="G69" s="1">
        <v>1000</v>
      </c>
      <c r="H69" s="5" t="s">
        <v>32</v>
      </c>
      <c r="I69" s="1" t="s">
        <v>21</v>
      </c>
      <c r="J69" s="1">
        <v>2</v>
      </c>
      <c r="K69" s="1">
        <f>COUNTA(Table1[[#This Row],[Quantity_Fixed]])</f>
        <v>1</v>
      </c>
      <c r="L69" s="1">
        <f>IF(Table1[[#This Row],[Quantity_Fixed]]="two",2,IF(Table1[[#This Row],[Quantity_Fixed]]="N/A","Missing",Table1[[#This Row],[Quantity_Fixed]]))</f>
        <v>2</v>
      </c>
      <c r="M69" s="1">
        <v>15.99</v>
      </c>
      <c r="N69" s="9">
        <v>45373</v>
      </c>
      <c r="O69" s="12">
        <f>DAY(Table1[[#This Row],[TransactionDate]])</f>
        <v>22</v>
      </c>
      <c r="P69" s="15">
        <f>MONTH(Table1[[#This Row],[TransactionDate]])</f>
        <v>3</v>
      </c>
      <c r="Q69" s="12">
        <f>YEAR(Table1[[#This Row],[TransactionDate]])</f>
        <v>2024</v>
      </c>
      <c r="R69" s="9">
        <f>EOMONTH(Table1[[#This Row],[TransactionDate]],0)</f>
        <v>45382</v>
      </c>
      <c r="S69" s="1" t="s">
        <v>33</v>
      </c>
      <c r="T69" s="1">
        <f>IFERROR(Table1[[#This Row],[Quantity_Fixed]]*Table1[[#This Row],[UnitPrice]]*(1+$Y$5),"Check Quantity")</f>
        <v>33.579000000000001</v>
      </c>
    </row>
    <row r="70" spans="1:20" x14ac:dyDescent="0.3">
      <c r="A70" s="1">
        <v>1069</v>
      </c>
      <c r="B70" s="1" t="s">
        <v>127</v>
      </c>
      <c r="C70" s="4" t="s">
        <v>359</v>
      </c>
      <c r="D70" s="1"/>
      <c r="E70" s="1" t="s">
        <v>277</v>
      </c>
      <c r="F70" s="1" t="s">
        <v>199</v>
      </c>
      <c r="G70" s="1" t="s">
        <v>200</v>
      </c>
      <c r="H70" s="5" t="s">
        <v>39</v>
      </c>
      <c r="I70" s="1" t="s">
        <v>40</v>
      </c>
      <c r="J70" s="1">
        <v>3</v>
      </c>
      <c r="K70" s="1">
        <f>COUNTA(Table1[[#This Row],[Quantity_Fixed]])</f>
        <v>1</v>
      </c>
      <c r="L70" s="1">
        <f>IF(Table1[[#This Row],[Quantity_Fixed]]="two",2,IF(Table1[[#This Row],[Quantity_Fixed]]="N/A","Missing",Table1[[#This Row],[Quantity_Fixed]]))</f>
        <v>3</v>
      </c>
      <c r="M70" s="1">
        <v>45</v>
      </c>
      <c r="N70" s="9">
        <v>45373</v>
      </c>
      <c r="O70" s="12">
        <f>DAY(Table1[[#This Row],[TransactionDate]])</f>
        <v>22</v>
      </c>
      <c r="P70" s="15">
        <f>MONTH(Table1[[#This Row],[TransactionDate]])</f>
        <v>3</v>
      </c>
      <c r="Q70" s="12">
        <f>YEAR(Table1[[#This Row],[TransactionDate]])</f>
        <v>2024</v>
      </c>
      <c r="R70" s="9">
        <f>EOMONTH(Table1[[#This Row],[TransactionDate]],0)</f>
        <v>45382</v>
      </c>
      <c r="S70" s="1" t="s">
        <v>68</v>
      </c>
      <c r="T70" s="1">
        <f>IFERROR(Table1[[#This Row],[Quantity_Fixed]]*Table1[[#This Row],[UnitPrice]]*(1+$Y$5),"Check Quantity")</f>
        <v>141.75</v>
      </c>
    </row>
    <row r="71" spans="1:20" x14ac:dyDescent="0.3">
      <c r="A71" s="1">
        <v>1070</v>
      </c>
      <c r="B71" s="1" t="s">
        <v>186</v>
      </c>
      <c r="C71" s="4" t="s">
        <v>360</v>
      </c>
      <c r="D71" s="1" t="s">
        <v>84</v>
      </c>
      <c r="E71" s="1" t="s">
        <v>278</v>
      </c>
      <c r="F71" s="1" t="s">
        <v>298</v>
      </c>
      <c r="G71" s="1">
        <v>1000</v>
      </c>
      <c r="H71" s="5" t="s">
        <v>53</v>
      </c>
      <c r="I71" s="1" t="s">
        <v>54</v>
      </c>
      <c r="J71" s="1">
        <v>4</v>
      </c>
      <c r="K71" s="1">
        <f>COUNTA(Table1[[#This Row],[Quantity_Fixed]])</f>
        <v>1</v>
      </c>
      <c r="L71" s="1">
        <f>IF(Table1[[#This Row],[Quantity_Fixed]]="two",2,IF(Table1[[#This Row],[Quantity_Fixed]]="N/A","Missing",Table1[[#This Row],[Quantity_Fixed]]))</f>
        <v>4</v>
      </c>
      <c r="M71" s="1">
        <v>19.989999999999998</v>
      </c>
      <c r="N71" s="9">
        <v>45373</v>
      </c>
      <c r="O71" s="12">
        <f>DAY(Table1[[#This Row],[TransactionDate]])</f>
        <v>22</v>
      </c>
      <c r="P71" s="15">
        <f>MONTH(Table1[[#This Row],[TransactionDate]])</f>
        <v>3</v>
      </c>
      <c r="Q71" s="12">
        <f>YEAR(Table1[[#This Row],[TransactionDate]])</f>
        <v>2024</v>
      </c>
      <c r="R71" s="9">
        <f>EOMONTH(Table1[[#This Row],[TransactionDate]],0)</f>
        <v>45382</v>
      </c>
      <c r="S71" s="1" t="s">
        <v>68</v>
      </c>
      <c r="T71" s="1">
        <f>IFERROR(Table1[[#This Row],[Quantity_Fixed]]*Table1[[#This Row],[UnitPrice]]*(1+$Y$5),"Check Quantity")</f>
        <v>83.957999999999998</v>
      </c>
    </row>
    <row r="72" spans="1:20" x14ac:dyDescent="0.3">
      <c r="A72" s="1">
        <v>1070</v>
      </c>
      <c r="B72" s="1" t="s">
        <v>122</v>
      </c>
      <c r="C72" s="4" t="s">
        <v>360</v>
      </c>
      <c r="D72" s="1" t="s">
        <v>84</v>
      </c>
      <c r="E72" s="1" t="s">
        <v>278</v>
      </c>
      <c r="F72" s="1" t="s">
        <v>298</v>
      </c>
      <c r="G72" s="1">
        <v>1000</v>
      </c>
      <c r="H72" s="5" t="s">
        <v>53</v>
      </c>
      <c r="I72" s="1" t="s">
        <v>54</v>
      </c>
      <c r="J72" s="1">
        <v>4</v>
      </c>
      <c r="K72" s="1">
        <f>COUNTA(Table1[[#This Row],[Quantity_Fixed]])</f>
        <v>1</v>
      </c>
      <c r="L72" s="1">
        <f>IF(Table1[[#This Row],[Quantity_Fixed]]="two",2,IF(Table1[[#This Row],[Quantity_Fixed]]="N/A","Missing",Table1[[#This Row],[Quantity_Fixed]]))</f>
        <v>4</v>
      </c>
      <c r="M72" s="1">
        <v>19.989999999999998</v>
      </c>
      <c r="N72" s="9">
        <v>45373</v>
      </c>
      <c r="O72" s="12">
        <f>DAY(Table1[[#This Row],[TransactionDate]])</f>
        <v>22</v>
      </c>
      <c r="P72" s="15">
        <f>MONTH(Table1[[#This Row],[TransactionDate]])</f>
        <v>3</v>
      </c>
      <c r="Q72" s="12">
        <f>YEAR(Table1[[#This Row],[TransactionDate]])</f>
        <v>2024</v>
      </c>
      <c r="R72" s="9">
        <f>EOMONTH(Table1[[#This Row],[TransactionDate]],0)</f>
        <v>45382</v>
      </c>
      <c r="S72" s="1" t="s">
        <v>68</v>
      </c>
      <c r="T72" s="1">
        <f>IFERROR(Table1[[#This Row],[Quantity_Fixed]]*Table1[[#This Row],[UnitPrice]]*(1+$Y$5),"Check Quantity")</f>
        <v>83.957999999999998</v>
      </c>
    </row>
    <row r="73" spans="1:20" x14ac:dyDescent="0.3">
      <c r="A73" s="1">
        <v>1071</v>
      </c>
      <c r="B73" s="1" t="s">
        <v>122</v>
      </c>
      <c r="C73" s="4" t="s">
        <v>361</v>
      </c>
      <c r="D73" s="1" t="s">
        <v>128</v>
      </c>
      <c r="E73" s="1" t="s">
        <v>279</v>
      </c>
      <c r="F73" s="1" t="s">
        <v>300</v>
      </c>
      <c r="G73" s="1">
        <v>6000</v>
      </c>
      <c r="H73" s="5" t="s">
        <v>106</v>
      </c>
      <c r="I73" s="1" t="s">
        <v>10</v>
      </c>
      <c r="J73" s="1">
        <v>6</v>
      </c>
      <c r="K73" s="1">
        <f>COUNTA(Table1[[#This Row],[Quantity_Fixed]])</f>
        <v>1</v>
      </c>
      <c r="L73" s="1">
        <f>IF(Table1[[#This Row],[Quantity_Fixed]]="two",2,IF(Table1[[#This Row],[Quantity_Fixed]]="N/A","Missing",Table1[[#This Row],[Quantity_Fixed]]))</f>
        <v>6</v>
      </c>
      <c r="M73" s="1">
        <v>27.3</v>
      </c>
      <c r="N73" s="9">
        <v>45373</v>
      </c>
      <c r="O73" s="12">
        <f>DAY(Table1[[#This Row],[TransactionDate]])</f>
        <v>22</v>
      </c>
      <c r="P73" s="15">
        <f>MONTH(Table1[[#This Row],[TransactionDate]])</f>
        <v>3</v>
      </c>
      <c r="Q73" s="12">
        <f>YEAR(Table1[[#This Row],[TransactionDate]])</f>
        <v>2024</v>
      </c>
      <c r="R73" s="9">
        <f>EOMONTH(Table1[[#This Row],[TransactionDate]],0)</f>
        <v>45382</v>
      </c>
      <c r="S73" s="1" t="s">
        <v>11</v>
      </c>
      <c r="T73" s="1">
        <f>IFERROR(Table1[[#This Row],[Quantity_Fixed]]*Table1[[#This Row],[UnitPrice]]*(1+$Y$5),"Check Quantity")</f>
        <v>171.99</v>
      </c>
    </row>
    <row r="74" spans="1:20" x14ac:dyDescent="0.3">
      <c r="A74" s="1">
        <v>1072</v>
      </c>
      <c r="B74" s="1" t="s">
        <v>187</v>
      </c>
      <c r="C74" s="4" t="s">
        <v>362</v>
      </c>
      <c r="D74" s="1" t="s">
        <v>30</v>
      </c>
      <c r="E74" s="1" t="s">
        <v>280</v>
      </c>
      <c r="F74" s="1" t="s">
        <v>212</v>
      </c>
      <c r="G74" s="1" t="s">
        <v>213</v>
      </c>
      <c r="H74" s="5" t="s">
        <v>373</v>
      </c>
      <c r="I74" s="1" t="s">
        <v>21</v>
      </c>
      <c r="J74" s="1">
        <v>5</v>
      </c>
      <c r="K74" s="1">
        <f>COUNTA(Table1[[#This Row],[Quantity_Fixed]])</f>
        <v>1</v>
      </c>
      <c r="L74" s="1">
        <f>IF(Table1[[#This Row],[Quantity_Fixed]]="two",2,IF(Table1[[#This Row],[Quantity_Fixed]]="N/A","Missing",Table1[[#This Row],[Quantity_Fixed]]))</f>
        <v>5</v>
      </c>
      <c r="M74" s="1">
        <v>8.99</v>
      </c>
      <c r="N74" s="9">
        <v>45373</v>
      </c>
      <c r="O74" s="12">
        <f>DAY(Table1[[#This Row],[TransactionDate]])</f>
        <v>22</v>
      </c>
      <c r="P74" s="15">
        <f>MONTH(Table1[[#This Row],[TransactionDate]])</f>
        <v>3</v>
      </c>
      <c r="Q74" s="12">
        <f>YEAR(Table1[[#This Row],[TransactionDate]])</f>
        <v>2024</v>
      </c>
      <c r="R74" s="9">
        <f>EOMONTH(Table1[[#This Row],[TransactionDate]],0)</f>
        <v>45382</v>
      </c>
      <c r="S74" s="1" t="s">
        <v>68</v>
      </c>
      <c r="T74" s="1">
        <f>IFERROR(Table1[[#This Row],[Quantity_Fixed]]*Table1[[#This Row],[UnitPrice]]*(1+$Y$5),"Check Quantity")</f>
        <v>47.197500000000005</v>
      </c>
    </row>
    <row r="75" spans="1:20" x14ac:dyDescent="0.3">
      <c r="A75" s="1">
        <v>1073</v>
      </c>
      <c r="B75" s="1" t="s">
        <v>113</v>
      </c>
      <c r="C75" s="4" t="s">
        <v>307</v>
      </c>
      <c r="D75" s="1" t="s">
        <v>123</v>
      </c>
      <c r="E75" s="1" t="s">
        <v>281</v>
      </c>
      <c r="F75" s="1" t="s">
        <v>196</v>
      </c>
      <c r="G75" s="1" t="s">
        <v>197</v>
      </c>
      <c r="H75" s="5" t="s">
        <v>32</v>
      </c>
      <c r="I75" s="1" t="s">
        <v>21</v>
      </c>
      <c r="J75" s="1">
        <v>1</v>
      </c>
      <c r="K75" s="1">
        <f>COUNTA(Table1[[#This Row],[Quantity_Fixed]])</f>
        <v>1</v>
      </c>
      <c r="L75" s="1">
        <f>IF(Table1[[#This Row],[Quantity_Fixed]]="two",2,IF(Table1[[#This Row],[Quantity_Fixed]]="N/A","Missing",Table1[[#This Row],[Quantity_Fixed]]))</f>
        <v>1</v>
      </c>
      <c r="M75" s="1">
        <v>15.99</v>
      </c>
      <c r="N75" s="9">
        <v>45353</v>
      </c>
      <c r="O75" s="12">
        <f>DAY(Table1[[#This Row],[TransactionDate]])</f>
        <v>2</v>
      </c>
      <c r="P75" s="15">
        <f>MONTH(Table1[[#This Row],[TransactionDate]])</f>
        <v>3</v>
      </c>
      <c r="Q75" s="12">
        <f>YEAR(Table1[[#This Row],[TransactionDate]])</f>
        <v>2024</v>
      </c>
      <c r="R75" s="9">
        <f>EOMONTH(Table1[[#This Row],[TransactionDate]],0)</f>
        <v>45382</v>
      </c>
      <c r="S75" s="1" t="s">
        <v>22</v>
      </c>
      <c r="T75" s="1">
        <f>IFERROR(Table1[[#This Row],[Quantity_Fixed]]*Table1[[#This Row],[UnitPrice]]*(1+$Y$5),"Check Quantity")</f>
        <v>16.7895</v>
      </c>
    </row>
    <row r="76" spans="1:20" x14ac:dyDescent="0.3">
      <c r="A76" s="1">
        <v>1073</v>
      </c>
      <c r="B76" s="1" t="s">
        <v>37</v>
      </c>
      <c r="C76" s="4" t="s">
        <v>307</v>
      </c>
      <c r="D76" s="1" t="s">
        <v>123</v>
      </c>
      <c r="E76" s="1" t="s">
        <v>281</v>
      </c>
      <c r="F76" s="1" t="s">
        <v>196</v>
      </c>
      <c r="G76" s="1" t="s">
        <v>197</v>
      </c>
      <c r="H76" s="5" t="s">
        <v>32</v>
      </c>
      <c r="I76" s="1" t="s">
        <v>21</v>
      </c>
      <c r="J76" s="1">
        <v>1</v>
      </c>
      <c r="K76" s="1">
        <f>COUNTA(Table1[[#This Row],[Quantity_Fixed]])</f>
        <v>1</v>
      </c>
      <c r="L76" s="1">
        <f>IF(Table1[[#This Row],[Quantity_Fixed]]="two",2,IF(Table1[[#This Row],[Quantity_Fixed]]="N/A","Missing",Table1[[#This Row],[Quantity_Fixed]]))</f>
        <v>1</v>
      </c>
      <c r="M76" s="1">
        <v>15.99</v>
      </c>
      <c r="N76" s="9">
        <v>45353</v>
      </c>
      <c r="O76" s="12">
        <f>DAY(Table1[[#This Row],[TransactionDate]])</f>
        <v>2</v>
      </c>
      <c r="P76" s="15">
        <f>MONTH(Table1[[#This Row],[TransactionDate]])</f>
        <v>3</v>
      </c>
      <c r="Q76" s="12">
        <f>YEAR(Table1[[#This Row],[TransactionDate]])</f>
        <v>2024</v>
      </c>
      <c r="R76" s="9">
        <f>EOMONTH(Table1[[#This Row],[TransactionDate]],0)</f>
        <v>45382</v>
      </c>
      <c r="S76" s="1" t="s">
        <v>22</v>
      </c>
      <c r="T76" s="1">
        <f>IFERROR(Table1[[#This Row],[Quantity_Fixed]]*Table1[[#This Row],[UnitPrice]]*(1+$Y$5),"Check Quantity")</f>
        <v>16.7895</v>
      </c>
    </row>
    <row r="77" spans="1:20" x14ac:dyDescent="0.3">
      <c r="A77" s="1">
        <v>1074</v>
      </c>
      <c r="B77" s="1" t="s">
        <v>37</v>
      </c>
      <c r="C77" s="4" t="s">
        <v>363</v>
      </c>
      <c r="D77" s="1" t="s">
        <v>103</v>
      </c>
      <c r="E77" s="1" t="s">
        <v>282</v>
      </c>
      <c r="F77" s="1" t="s">
        <v>299</v>
      </c>
      <c r="G77" s="1">
        <v>4000</v>
      </c>
      <c r="H77" s="5" t="s">
        <v>42</v>
      </c>
      <c r="I77" s="1" t="s">
        <v>10</v>
      </c>
      <c r="J77" s="1">
        <v>1</v>
      </c>
      <c r="K77" s="1">
        <f>COUNTA(Table1[[#This Row],[Quantity_Fixed]])</f>
        <v>1</v>
      </c>
      <c r="L77" s="1">
        <f>IF(Table1[[#This Row],[Quantity_Fixed]]="two",2,IF(Table1[[#This Row],[Quantity_Fixed]]="N/A","Missing",Table1[[#This Row],[Quantity_Fixed]]))</f>
        <v>1</v>
      </c>
      <c r="M77" s="1">
        <v>129</v>
      </c>
      <c r="N77" s="9">
        <v>45325</v>
      </c>
      <c r="O77" s="12">
        <f>DAY(Table1[[#This Row],[TransactionDate]])</f>
        <v>3</v>
      </c>
      <c r="P77" s="15">
        <f>MONTH(Table1[[#This Row],[TransactionDate]])</f>
        <v>2</v>
      </c>
      <c r="Q77" s="12">
        <f>YEAR(Table1[[#This Row],[TransactionDate]])</f>
        <v>2024</v>
      </c>
      <c r="R77" s="9">
        <f>EOMONTH(Table1[[#This Row],[TransactionDate]],0)</f>
        <v>45351</v>
      </c>
      <c r="S77" s="1" t="s">
        <v>68</v>
      </c>
      <c r="T77" s="1">
        <f>IFERROR(Table1[[#This Row],[Quantity_Fixed]]*Table1[[#This Row],[UnitPrice]]*(1+$Y$5),"Check Quantity")</f>
        <v>135.45000000000002</v>
      </c>
    </row>
    <row r="78" spans="1:20" x14ac:dyDescent="0.3">
      <c r="A78" s="1">
        <v>1075</v>
      </c>
      <c r="B78" s="1" t="s">
        <v>138</v>
      </c>
      <c r="C78" s="1"/>
      <c r="D78" s="1" t="s">
        <v>114</v>
      </c>
      <c r="E78" s="1" t="s">
        <v>283</v>
      </c>
      <c r="F78" s="1" t="s">
        <v>226</v>
      </c>
      <c r="G78" s="1" t="s">
        <v>227</v>
      </c>
      <c r="H78" s="5" t="s">
        <v>106</v>
      </c>
      <c r="I78" s="1" t="s">
        <v>10</v>
      </c>
      <c r="J78" s="1">
        <v>6</v>
      </c>
      <c r="K78" s="1">
        <f>COUNTA(Table1[[#This Row],[Quantity_Fixed]])</f>
        <v>1</v>
      </c>
      <c r="L78" s="1">
        <f>IF(Table1[[#This Row],[Quantity_Fixed]]="two",2,IF(Table1[[#This Row],[Quantity_Fixed]]="N/A","Missing",Table1[[#This Row],[Quantity_Fixed]]))</f>
        <v>6</v>
      </c>
      <c r="M78" s="1">
        <v>27.3</v>
      </c>
      <c r="N78" s="9">
        <v>45373</v>
      </c>
      <c r="O78" s="12">
        <f>DAY(Table1[[#This Row],[TransactionDate]])</f>
        <v>22</v>
      </c>
      <c r="P78" s="15">
        <f>MONTH(Table1[[#This Row],[TransactionDate]])</f>
        <v>3</v>
      </c>
      <c r="Q78" s="12">
        <f>YEAR(Table1[[#This Row],[TransactionDate]])</f>
        <v>2024</v>
      </c>
      <c r="R78" s="9">
        <f>EOMONTH(Table1[[#This Row],[TransactionDate]],0)</f>
        <v>45382</v>
      </c>
      <c r="S78" s="1" t="s">
        <v>14</v>
      </c>
      <c r="T78" s="1">
        <f>IFERROR(Table1[[#This Row],[Quantity_Fixed]]*Table1[[#This Row],[UnitPrice]]*(1+$Y$5),"Check Quantity")</f>
        <v>171.99</v>
      </c>
    </row>
    <row r="79" spans="1:20" x14ac:dyDescent="0.3">
      <c r="A79" s="1">
        <v>1077</v>
      </c>
      <c r="B79" s="1" t="s">
        <v>25</v>
      </c>
      <c r="C79" s="4" t="s">
        <v>364</v>
      </c>
      <c r="D79" s="1" t="s">
        <v>139</v>
      </c>
      <c r="E79" s="1" t="s">
        <v>284</v>
      </c>
      <c r="F79" s="1" t="s">
        <v>196</v>
      </c>
      <c r="G79" s="1" t="s">
        <v>197</v>
      </c>
      <c r="H79" s="5" t="s">
        <v>96</v>
      </c>
      <c r="I79" s="1" t="s">
        <v>10</v>
      </c>
      <c r="J79" s="1">
        <v>4</v>
      </c>
      <c r="K79" s="1">
        <f>COUNTA(Table1[[#This Row],[Quantity_Fixed]])</f>
        <v>1</v>
      </c>
      <c r="L79" s="1">
        <f>IF(Table1[[#This Row],[Quantity_Fixed]]="two",2,IF(Table1[[#This Row],[Quantity_Fixed]]="N/A","Missing",Table1[[#This Row],[Quantity_Fixed]]))</f>
        <v>4</v>
      </c>
      <c r="M79" s="1">
        <v>33</v>
      </c>
      <c r="N79" s="9">
        <v>45373</v>
      </c>
      <c r="O79" s="12">
        <f>DAY(Table1[[#This Row],[TransactionDate]])</f>
        <v>22</v>
      </c>
      <c r="P79" s="15">
        <f>MONTH(Table1[[#This Row],[TransactionDate]])</f>
        <v>3</v>
      </c>
      <c r="Q79" s="12">
        <f>YEAR(Table1[[#This Row],[TransactionDate]])</f>
        <v>2024</v>
      </c>
      <c r="R79" s="9">
        <f>EOMONTH(Table1[[#This Row],[TransactionDate]],0)</f>
        <v>45382</v>
      </c>
      <c r="S79" s="1" t="s">
        <v>22</v>
      </c>
      <c r="T79" s="1">
        <f>IFERROR(Table1[[#This Row],[Quantity_Fixed]]*Table1[[#This Row],[UnitPrice]]*(1+$Y$5),"Check Quantity")</f>
        <v>138.6</v>
      </c>
    </row>
    <row r="80" spans="1:20" x14ac:dyDescent="0.3">
      <c r="A80" s="1">
        <v>1078</v>
      </c>
      <c r="B80" s="1" t="s">
        <v>12</v>
      </c>
      <c r="C80" s="4" t="s">
        <v>308</v>
      </c>
      <c r="D80" s="1" t="s">
        <v>141</v>
      </c>
      <c r="E80" s="1" t="s">
        <v>285</v>
      </c>
      <c r="F80" s="1" t="s">
        <v>205</v>
      </c>
      <c r="G80" s="1" t="s">
        <v>206</v>
      </c>
      <c r="H80" s="5" t="s">
        <v>17</v>
      </c>
      <c r="I80" s="1" t="s">
        <v>18</v>
      </c>
      <c r="J80" s="1">
        <v>1</v>
      </c>
      <c r="K80" s="1">
        <f>COUNTA(Table1[[#This Row],[Quantity_Fixed]])</f>
        <v>1</v>
      </c>
      <c r="L80" s="1">
        <f>IF(Table1[[#This Row],[Quantity_Fixed]]="two",2,IF(Table1[[#This Row],[Quantity_Fixed]]="N/A","Missing",Table1[[#This Row],[Quantity_Fixed]]))</f>
        <v>1</v>
      </c>
      <c r="M80" s="1">
        <v>68</v>
      </c>
      <c r="N80" s="9">
        <v>45373</v>
      </c>
      <c r="O80" s="12">
        <f>DAY(Table1[[#This Row],[TransactionDate]])</f>
        <v>22</v>
      </c>
      <c r="P80" s="15">
        <f>MONTH(Table1[[#This Row],[TransactionDate]])</f>
        <v>3</v>
      </c>
      <c r="Q80" s="12">
        <f>YEAR(Table1[[#This Row],[TransactionDate]])</f>
        <v>2024</v>
      </c>
      <c r="R80" s="9">
        <f>EOMONTH(Table1[[#This Row],[TransactionDate]],0)</f>
        <v>45382</v>
      </c>
      <c r="S80" s="1" t="s">
        <v>11</v>
      </c>
      <c r="T80" s="1">
        <f>IFERROR(Table1[[#This Row],[Quantity_Fixed]]*Table1[[#This Row],[UnitPrice]]*(1+$Y$5),"Check Quantity")</f>
        <v>71.400000000000006</v>
      </c>
    </row>
    <row r="81" spans="1:20" x14ac:dyDescent="0.3">
      <c r="A81" s="1">
        <v>1079</v>
      </c>
      <c r="B81" s="1" t="s">
        <v>175</v>
      </c>
      <c r="C81" s="4" t="s">
        <v>324</v>
      </c>
      <c r="D81" s="1" t="s">
        <v>140</v>
      </c>
      <c r="E81" s="1" t="s">
        <v>286</v>
      </c>
      <c r="F81" s="1" t="s">
        <v>300</v>
      </c>
      <c r="G81" s="1">
        <v>6000</v>
      </c>
      <c r="H81" s="5" t="s">
        <v>39</v>
      </c>
      <c r="I81" s="1" t="s">
        <v>40</v>
      </c>
      <c r="J81" s="1">
        <v>7</v>
      </c>
      <c r="K81" s="1">
        <f>COUNTA(Table1[[#This Row],[Quantity_Fixed]])</f>
        <v>1</v>
      </c>
      <c r="L81" s="1">
        <f>IF(Table1[[#This Row],[Quantity_Fixed]]="two",2,IF(Table1[[#This Row],[Quantity_Fixed]]="N/A","Missing",Table1[[#This Row],[Quantity_Fixed]]))</f>
        <v>7</v>
      </c>
      <c r="M81" s="1">
        <v>45</v>
      </c>
      <c r="N81" s="9">
        <v>45325</v>
      </c>
      <c r="O81" s="12">
        <f>DAY(Table1[[#This Row],[TransactionDate]])</f>
        <v>3</v>
      </c>
      <c r="P81" s="15">
        <f>MONTH(Table1[[#This Row],[TransactionDate]])</f>
        <v>2</v>
      </c>
      <c r="Q81" s="12">
        <f>YEAR(Table1[[#This Row],[TransactionDate]])</f>
        <v>2024</v>
      </c>
      <c r="R81" s="9">
        <f>EOMONTH(Table1[[#This Row],[TransactionDate]],0)</f>
        <v>45351</v>
      </c>
      <c r="S81" s="1" t="s">
        <v>68</v>
      </c>
      <c r="T81" s="1">
        <f>IFERROR(Table1[[#This Row],[Quantity_Fixed]]*Table1[[#This Row],[UnitPrice]]*(1+$Y$5),"Check Quantity")</f>
        <v>330.75</v>
      </c>
    </row>
    <row r="82" spans="1:20" x14ac:dyDescent="0.3">
      <c r="A82" s="1">
        <v>1080</v>
      </c>
      <c r="B82" s="1" t="s">
        <v>108</v>
      </c>
      <c r="C82" s="4" t="s">
        <v>365</v>
      </c>
      <c r="D82" s="1" t="s">
        <v>26</v>
      </c>
      <c r="E82" s="1" t="s">
        <v>287</v>
      </c>
      <c r="F82" s="1" t="s">
        <v>205</v>
      </c>
      <c r="G82" s="1" t="s">
        <v>206</v>
      </c>
      <c r="H82" s="5" t="s">
        <v>27</v>
      </c>
      <c r="I82" s="1" t="s">
        <v>28</v>
      </c>
      <c r="J82" s="1">
        <v>3</v>
      </c>
      <c r="K82" s="1">
        <f>COUNTA(Table1[[#This Row],[Quantity_Fixed]])</f>
        <v>1</v>
      </c>
      <c r="L82" s="1">
        <f>IF(Table1[[#This Row],[Quantity_Fixed]]="two",2,IF(Table1[[#This Row],[Quantity_Fixed]]="N/A","Missing",Table1[[#This Row],[Quantity_Fixed]]))</f>
        <v>3</v>
      </c>
      <c r="M82" s="1">
        <v>7.5</v>
      </c>
      <c r="N82" s="9" t="s">
        <v>29</v>
      </c>
      <c r="O82" s="12" t="e">
        <f>DAY(Table1[[#This Row],[TransactionDate]])</f>
        <v>#VALUE!</v>
      </c>
      <c r="P82" s="15" t="e">
        <f>MONTH(Table1[[#This Row],[TransactionDate]])</f>
        <v>#VALUE!</v>
      </c>
      <c r="Q82" s="12" t="e">
        <f>YEAR(Table1[[#This Row],[TransactionDate]])</f>
        <v>#VALUE!</v>
      </c>
      <c r="R82" s="9" t="e">
        <f>EOMONTH(Table1[[#This Row],[TransactionDate]],0)</f>
        <v>#VALUE!</v>
      </c>
      <c r="S82" s="1" t="s">
        <v>68</v>
      </c>
      <c r="T82" s="1">
        <f>IFERROR(Table1[[#This Row],[Quantity_Fixed]]*Table1[[#This Row],[UnitPrice]]*(1+$Y$5),"Check Quantity")</f>
        <v>23.625</v>
      </c>
    </row>
    <row r="83" spans="1:20" x14ac:dyDescent="0.3">
      <c r="A83" s="1">
        <v>1081</v>
      </c>
      <c r="B83" s="1" t="s">
        <v>117</v>
      </c>
      <c r="C83" s="4" t="s">
        <v>309</v>
      </c>
      <c r="D83" s="1" t="s">
        <v>13</v>
      </c>
      <c r="E83" s="1" t="s">
        <v>288</v>
      </c>
      <c r="F83" s="1" t="s">
        <v>299</v>
      </c>
      <c r="G83" s="1">
        <v>4000</v>
      </c>
      <c r="H83" s="5" t="s">
        <v>9</v>
      </c>
      <c r="I83" s="1" t="s">
        <v>10</v>
      </c>
      <c r="J83" s="1">
        <v>6</v>
      </c>
      <c r="K83" s="1">
        <f>COUNTA(Table1[[#This Row],[Quantity_Fixed]])</f>
        <v>1</v>
      </c>
      <c r="L83" s="1">
        <f>IF(Table1[[#This Row],[Quantity_Fixed]]="two",2,IF(Table1[[#This Row],[Quantity_Fixed]]="N/A","Missing",Table1[[#This Row],[Quantity_Fixed]]))</f>
        <v>6</v>
      </c>
      <c r="M83" s="1">
        <v>22.75</v>
      </c>
      <c r="N83" s="9">
        <v>45306</v>
      </c>
      <c r="O83" s="12">
        <f>DAY(Table1[[#This Row],[TransactionDate]])</f>
        <v>15</v>
      </c>
      <c r="P83" s="15">
        <f>MONTH(Table1[[#This Row],[TransactionDate]])</f>
        <v>1</v>
      </c>
      <c r="Q83" s="12">
        <f>YEAR(Table1[[#This Row],[TransactionDate]])</f>
        <v>2024</v>
      </c>
      <c r="R83" s="9">
        <f>EOMONTH(Table1[[#This Row],[TransactionDate]],0)</f>
        <v>45322</v>
      </c>
      <c r="S83" s="1" t="s">
        <v>14</v>
      </c>
      <c r="T83" s="1">
        <f>IFERROR(Table1[[#This Row],[Quantity_Fixed]]*Table1[[#This Row],[UnitPrice]]*(1+$Y$5),"Check Quantity")</f>
        <v>143.32500000000002</v>
      </c>
    </row>
    <row r="84" spans="1:20" x14ac:dyDescent="0.3">
      <c r="A84" s="1">
        <v>1082</v>
      </c>
      <c r="B84" s="1" t="s">
        <v>176</v>
      </c>
      <c r="C84" s="1"/>
      <c r="D84" s="1" t="s">
        <v>112</v>
      </c>
      <c r="E84" s="1" t="s">
        <v>289</v>
      </c>
      <c r="F84" s="1" t="s">
        <v>217</v>
      </c>
      <c r="G84" s="1" t="s">
        <v>218</v>
      </c>
      <c r="H84" s="5" t="s">
        <v>39</v>
      </c>
      <c r="I84" s="1" t="s">
        <v>40</v>
      </c>
      <c r="J84" s="1">
        <v>3</v>
      </c>
      <c r="K84" s="1">
        <f>COUNTA(Table1[[#This Row],[Quantity_Fixed]])</f>
        <v>1</v>
      </c>
      <c r="L84" s="1">
        <f>IF(Table1[[#This Row],[Quantity_Fixed]]="two",2,IF(Table1[[#This Row],[Quantity_Fixed]]="N/A","Missing",Table1[[#This Row],[Quantity_Fixed]]))</f>
        <v>3</v>
      </c>
      <c r="M84" s="1">
        <v>45</v>
      </c>
      <c r="N84" s="9">
        <v>45306</v>
      </c>
      <c r="O84" s="12">
        <f>DAY(Table1[[#This Row],[TransactionDate]])</f>
        <v>15</v>
      </c>
      <c r="P84" s="15">
        <f>MONTH(Table1[[#This Row],[TransactionDate]])</f>
        <v>1</v>
      </c>
      <c r="Q84" s="12">
        <f>YEAR(Table1[[#This Row],[TransactionDate]])</f>
        <v>2024</v>
      </c>
      <c r="R84" s="9">
        <f>EOMONTH(Table1[[#This Row],[TransactionDate]],0)</f>
        <v>45322</v>
      </c>
      <c r="S84" s="1" t="s">
        <v>68</v>
      </c>
      <c r="T84" s="1">
        <f>IFERROR(Table1[[#This Row],[Quantity_Fixed]]*Table1[[#This Row],[UnitPrice]]*(1+$Y$5),"Check Quantity")</f>
        <v>141.75</v>
      </c>
    </row>
    <row r="85" spans="1:20" x14ac:dyDescent="0.3">
      <c r="A85" s="1">
        <v>1083</v>
      </c>
      <c r="B85" s="1" t="s">
        <v>188</v>
      </c>
      <c r="C85" s="4" t="s">
        <v>366</v>
      </c>
      <c r="D85" s="1" t="s">
        <v>109</v>
      </c>
      <c r="E85" s="1" t="s">
        <v>290</v>
      </c>
      <c r="F85" s="1" t="s">
        <v>299</v>
      </c>
      <c r="G85" s="1">
        <v>4000</v>
      </c>
      <c r="H85" s="5" t="s">
        <v>17</v>
      </c>
      <c r="I85" s="1" t="s">
        <v>18</v>
      </c>
      <c r="J85" s="1">
        <v>6</v>
      </c>
      <c r="K85" s="1">
        <f>COUNTA(Table1[[#This Row],[Quantity_Fixed]])</f>
        <v>1</v>
      </c>
      <c r="L85" s="1">
        <f>IF(Table1[[#This Row],[Quantity_Fixed]]="two",2,IF(Table1[[#This Row],[Quantity_Fixed]]="N/A","Missing",Table1[[#This Row],[Quantity_Fixed]]))</f>
        <v>6</v>
      </c>
      <c r="M85" s="1">
        <v>68</v>
      </c>
      <c r="N85" s="9">
        <v>45306</v>
      </c>
      <c r="O85" s="12">
        <f>DAY(Table1[[#This Row],[TransactionDate]])</f>
        <v>15</v>
      </c>
      <c r="P85" s="15">
        <f>MONTH(Table1[[#This Row],[TransactionDate]])</f>
        <v>1</v>
      </c>
      <c r="Q85" s="12">
        <f>YEAR(Table1[[#This Row],[TransactionDate]])</f>
        <v>2024</v>
      </c>
      <c r="R85" s="9">
        <f>EOMONTH(Table1[[#This Row],[TransactionDate]],0)</f>
        <v>45322</v>
      </c>
      <c r="S85" s="1" t="s">
        <v>14</v>
      </c>
      <c r="T85" s="1">
        <f>IFERROR(Table1[[#This Row],[Quantity_Fixed]]*Table1[[#This Row],[UnitPrice]]*(1+$Y$5),"Check Quantity")</f>
        <v>428.40000000000003</v>
      </c>
    </row>
    <row r="86" spans="1:20" x14ac:dyDescent="0.3">
      <c r="A86" s="1">
        <v>1084</v>
      </c>
      <c r="B86" s="1" t="s">
        <v>177</v>
      </c>
      <c r="C86" s="4" t="s">
        <v>367</v>
      </c>
      <c r="D86" s="1" t="s">
        <v>118</v>
      </c>
      <c r="E86" s="1" t="s">
        <v>291</v>
      </c>
      <c r="F86" s="1" t="s">
        <v>220</v>
      </c>
      <c r="G86" s="1" t="s">
        <v>221</v>
      </c>
      <c r="H86" s="5" t="s">
        <v>36</v>
      </c>
      <c r="I86" s="1" t="s">
        <v>21</v>
      </c>
      <c r="J86" s="1">
        <v>4</v>
      </c>
      <c r="K86" s="1">
        <f>COUNTA(Table1[[#This Row],[Quantity_Fixed]])</f>
        <v>1</v>
      </c>
      <c r="L86" s="1">
        <f>IF(Table1[[#This Row],[Quantity_Fixed]]="two",2,IF(Table1[[#This Row],[Quantity_Fixed]]="N/A","Missing",Table1[[#This Row],[Quantity_Fixed]]))</f>
        <v>4</v>
      </c>
      <c r="M86" s="1">
        <v>59.99</v>
      </c>
      <c r="N86" s="9">
        <v>45325</v>
      </c>
      <c r="O86" s="12">
        <f>DAY(Table1[[#This Row],[TransactionDate]])</f>
        <v>3</v>
      </c>
      <c r="P86" s="15">
        <f>MONTH(Table1[[#This Row],[TransactionDate]])</f>
        <v>2</v>
      </c>
      <c r="Q86" s="12">
        <f>YEAR(Table1[[#This Row],[TransactionDate]])</f>
        <v>2024</v>
      </c>
      <c r="R86" s="9">
        <f>EOMONTH(Table1[[#This Row],[TransactionDate]],0)</f>
        <v>45351</v>
      </c>
      <c r="S86" s="1" t="s">
        <v>14</v>
      </c>
      <c r="T86" s="1">
        <f>IFERROR(Table1[[#This Row],[Quantity_Fixed]]*Table1[[#This Row],[UnitPrice]]*(1+$Y$5),"Check Quantity")</f>
        <v>251.95800000000003</v>
      </c>
    </row>
    <row r="87" spans="1:20" x14ac:dyDescent="0.3">
      <c r="A87" s="1">
        <v>1085</v>
      </c>
      <c r="B87" s="1" t="s">
        <v>177</v>
      </c>
      <c r="C87" s="4" t="s">
        <v>368</v>
      </c>
      <c r="D87" s="1" t="s">
        <v>63</v>
      </c>
      <c r="E87" s="1" t="s">
        <v>292</v>
      </c>
      <c r="F87" s="1" t="s">
        <v>258</v>
      </c>
      <c r="G87" s="1" t="s">
        <v>259</v>
      </c>
      <c r="H87" s="5" t="s">
        <v>39</v>
      </c>
      <c r="I87" s="1" t="s">
        <v>40</v>
      </c>
      <c r="J87" s="1">
        <v>3</v>
      </c>
      <c r="K87" s="1">
        <f>COUNTA(Table1[[#This Row],[Quantity_Fixed]])</f>
        <v>1</v>
      </c>
      <c r="L87" s="1">
        <f>IF(Table1[[#This Row],[Quantity_Fixed]]="two",2,IF(Table1[[#This Row],[Quantity_Fixed]]="N/A","Missing",Table1[[#This Row],[Quantity_Fixed]]))</f>
        <v>3</v>
      </c>
      <c r="M87" s="1">
        <v>45</v>
      </c>
      <c r="N87" s="9">
        <v>45353</v>
      </c>
      <c r="O87" s="12">
        <f>DAY(Table1[[#This Row],[TransactionDate]])</f>
        <v>2</v>
      </c>
      <c r="P87" s="15">
        <f>MONTH(Table1[[#This Row],[TransactionDate]])</f>
        <v>3</v>
      </c>
      <c r="Q87" s="12">
        <f>YEAR(Table1[[#This Row],[TransactionDate]])</f>
        <v>2024</v>
      </c>
      <c r="R87" s="9">
        <f>EOMONTH(Table1[[#This Row],[TransactionDate]],0)</f>
        <v>45382</v>
      </c>
      <c r="S87" s="1" t="s">
        <v>64</v>
      </c>
      <c r="T87" s="1">
        <f>IFERROR(Table1[[#This Row],[Quantity_Fixed]]*Table1[[#This Row],[UnitPrice]]*(1+$Y$5),"Check Quantity")</f>
        <v>141.75</v>
      </c>
    </row>
    <row r="88" spans="1:20" x14ac:dyDescent="0.3">
      <c r="A88" s="1">
        <v>1086</v>
      </c>
      <c r="B88" s="1" t="s">
        <v>178</v>
      </c>
      <c r="C88" s="4" t="s">
        <v>369</v>
      </c>
      <c r="D88" s="1" t="s">
        <v>73</v>
      </c>
      <c r="E88" s="1" t="s">
        <v>293</v>
      </c>
      <c r="F88" s="1" t="s">
        <v>205</v>
      </c>
      <c r="G88" s="1" t="s">
        <v>206</v>
      </c>
      <c r="H88" s="5" t="s">
        <v>53</v>
      </c>
      <c r="I88" s="1" t="s">
        <v>54</v>
      </c>
      <c r="J88" s="1">
        <v>1</v>
      </c>
      <c r="K88" s="1">
        <f>COUNTA(Table1[[#This Row],[Quantity_Fixed]])</f>
        <v>1</v>
      </c>
      <c r="L88" s="1">
        <f>IF(Table1[[#This Row],[Quantity_Fixed]]="two",2,IF(Table1[[#This Row],[Quantity_Fixed]]="N/A","Missing",Table1[[#This Row],[Quantity_Fixed]]))</f>
        <v>1</v>
      </c>
      <c r="M88" s="1">
        <v>19.989999999999998</v>
      </c>
      <c r="N88" s="9">
        <v>45373</v>
      </c>
      <c r="O88" s="12">
        <f>DAY(Table1[[#This Row],[TransactionDate]])</f>
        <v>22</v>
      </c>
      <c r="P88" s="15">
        <f>MONTH(Table1[[#This Row],[TransactionDate]])</f>
        <v>3</v>
      </c>
      <c r="Q88" s="12">
        <f>YEAR(Table1[[#This Row],[TransactionDate]])</f>
        <v>2024</v>
      </c>
      <c r="R88" s="9">
        <f>EOMONTH(Table1[[#This Row],[TransactionDate]],0)</f>
        <v>45382</v>
      </c>
      <c r="S88" s="1" t="s">
        <v>11</v>
      </c>
      <c r="T88" s="1">
        <f>IFERROR(Table1[[#This Row],[Quantity_Fixed]]*Table1[[#This Row],[UnitPrice]]*(1+$Y$5),"Check Quantity")</f>
        <v>20.9895</v>
      </c>
    </row>
    <row r="89" spans="1:20" x14ac:dyDescent="0.3">
      <c r="A89" s="1">
        <v>1087</v>
      </c>
      <c r="B89" s="1" t="s">
        <v>177</v>
      </c>
      <c r="C89" s="4" t="s">
        <v>370</v>
      </c>
      <c r="D89" s="1" t="s">
        <v>66</v>
      </c>
      <c r="E89" s="1" t="s">
        <v>294</v>
      </c>
      <c r="F89" s="1" t="s">
        <v>220</v>
      </c>
      <c r="G89" s="1" t="s">
        <v>221</v>
      </c>
      <c r="H89" s="5" t="s">
        <v>373</v>
      </c>
      <c r="I89" s="1" t="s">
        <v>21</v>
      </c>
      <c r="J89" s="1">
        <v>4</v>
      </c>
      <c r="K89" s="1">
        <f>COUNTA(Table1[[#This Row],[Quantity_Fixed]])</f>
        <v>1</v>
      </c>
      <c r="L89" s="1">
        <f>IF(Table1[[#This Row],[Quantity_Fixed]]="two",2,IF(Table1[[#This Row],[Quantity_Fixed]]="N/A","Missing",Table1[[#This Row],[Quantity_Fixed]]))</f>
        <v>4</v>
      </c>
      <c r="M89" s="1">
        <v>8.99</v>
      </c>
      <c r="N89" s="9">
        <v>45306</v>
      </c>
      <c r="O89" s="12">
        <f>DAY(Table1[[#This Row],[TransactionDate]])</f>
        <v>15</v>
      </c>
      <c r="P89" s="15">
        <f>MONTH(Table1[[#This Row],[TransactionDate]])</f>
        <v>1</v>
      </c>
      <c r="Q89" s="12">
        <f>YEAR(Table1[[#This Row],[TransactionDate]])</f>
        <v>2024</v>
      </c>
      <c r="R89" s="9">
        <f>EOMONTH(Table1[[#This Row],[TransactionDate]],0)</f>
        <v>45322</v>
      </c>
      <c r="S89" s="1" t="s">
        <v>11</v>
      </c>
      <c r="T89" s="1">
        <f>IFERROR(Table1[[#This Row],[Quantity_Fixed]]*Table1[[#This Row],[UnitPrice]]*(1+$Y$5),"Check Quantity")</f>
        <v>37.758000000000003</v>
      </c>
    </row>
    <row r="90" spans="1:20" x14ac:dyDescent="0.3">
      <c r="A90" s="1">
        <v>1087</v>
      </c>
      <c r="B90" s="1" t="s">
        <v>178</v>
      </c>
      <c r="C90" s="4" t="s">
        <v>370</v>
      </c>
      <c r="D90" s="1" t="s">
        <v>66</v>
      </c>
      <c r="E90" s="1" t="s">
        <v>294</v>
      </c>
      <c r="F90" s="1" t="s">
        <v>220</v>
      </c>
      <c r="G90" s="1" t="s">
        <v>221</v>
      </c>
      <c r="H90" s="5" t="s">
        <v>373</v>
      </c>
      <c r="I90" s="1" t="s">
        <v>21</v>
      </c>
      <c r="J90" s="1">
        <v>4</v>
      </c>
      <c r="K90" s="1">
        <f>COUNTA(Table1[[#This Row],[Quantity_Fixed]])</f>
        <v>1</v>
      </c>
      <c r="L90" s="1">
        <f>IF(Table1[[#This Row],[Quantity_Fixed]]="two",2,IF(Table1[[#This Row],[Quantity_Fixed]]="N/A","Missing",Table1[[#This Row],[Quantity_Fixed]]))</f>
        <v>4</v>
      </c>
      <c r="M90" s="1">
        <v>8.99</v>
      </c>
      <c r="N90" s="9">
        <v>45306</v>
      </c>
      <c r="O90" s="12">
        <f>DAY(Table1[[#This Row],[TransactionDate]])</f>
        <v>15</v>
      </c>
      <c r="P90" s="15">
        <f>MONTH(Table1[[#This Row],[TransactionDate]])</f>
        <v>1</v>
      </c>
      <c r="Q90" s="12">
        <f>YEAR(Table1[[#This Row],[TransactionDate]])</f>
        <v>2024</v>
      </c>
      <c r="R90" s="9">
        <f>EOMONTH(Table1[[#This Row],[TransactionDate]],0)</f>
        <v>45322</v>
      </c>
      <c r="S90" s="1" t="s">
        <v>11</v>
      </c>
      <c r="T90" s="1">
        <f>IFERROR(Table1[[#This Row],[Quantity_Fixed]]*Table1[[#This Row],[UnitPrice]]*(1+$Y$5),"Check Quantity")</f>
        <v>37.758000000000003</v>
      </c>
    </row>
    <row r="91" spans="1:20" x14ac:dyDescent="0.3">
      <c r="A91" s="1">
        <v>1088</v>
      </c>
      <c r="B91" s="1" t="s">
        <v>131</v>
      </c>
      <c r="C91" s="4" t="s">
        <v>371</v>
      </c>
      <c r="D91" s="1" t="s">
        <v>132</v>
      </c>
      <c r="E91" s="1" t="s">
        <v>295</v>
      </c>
      <c r="F91" s="1" t="s">
        <v>299</v>
      </c>
      <c r="G91" s="1">
        <v>4000</v>
      </c>
      <c r="H91" s="5" t="s">
        <v>32</v>
      </c>
      <c r="I91" s="1" t="s">
        <v>21</v>
      </c>
      <c r="J91" s="1">
        <v>2</v>
      </c>
      <c r="K91" s="1">
        <f>COUNTA(Table1[[#This Row],[Quantity_Fixed]])</f>
        <v>1</v>
      </c>
      <c r="L91" s="1">
        <f>IF(Table1[[#This Row],[Quantity_Fixed]]="two",2,IF(Table1[[#This Row],[Quantity_Fixed]]="N/A","Missing",Table1[[#This Row],[Quantity_Fixed]]))</f>
        <v>2</v>
      </c>
      <c r="M91" s="1">
        <v>15.99</v>
      </c>
      <c r="N91" s="9" t="s">
        <v>29</v>
      </c>
      <c r="O91" s="12" t="e">
        <f>DAY(Table1[[#This Row],[TransactionDate]])</f>
        <v>#VALUE!</v>
      </c>
      <c r="P91" s="15" t="e">
        <f>MONTH(Table1[[#This Row],[TransactionDate]])</f>
        <v>#VALUE!</v>
      </c>
      <c r="Q91" s="12" t="e">
        <f>YEAR(Table1[[#This Row],[TransactionDate]])</f>
        <v>#VALUE!</v>
      </c>
      <c r="R91" s="9" t="e">
        <f>EOMONTH(Table1[[#This Row],[TransactionDate]],0)</f>
        <v>#VALUE!</v>
      </c>
      <c r="S91" s="1" t="s">
        <v>14</v>
      </c>
      <c r="T91" s="1">
        <f>IFERROR(Table1[[#This Row],[Quantity_Fixed]]*Table1[[#This Row],[UnitPrice]]*(1+$Y$5),"Check Quantity")</f>
        <v>33.579000000000001</v>
      </c>
    </row>
    <row r="92" spans="1:20" x14ac:dyDescent="0.3">
      <c r="A92" s="1"/>
      <c r="B92" s="1"/>
      <c r="C92" s="4"/>
      <c r="D92" s="1"/>
      <c r="E92" s="1"/>
      <c r="F92" s="1"/>
      <c r="G92" s="1"/>
      <c r="H92" s="5"/>
      <c r="I92" s="1"/>
      <c r="J92" s="1"/>
      <c r="K92" s="1"/>
      <c r="L92" s="1"/>
      <c r="M92" s="1"/>
      <c r="N92" s="12"/>
      <c r="O92" s="9"/>
      <c r="P92" s="9"/>
      <c r="Q92" s="9"/>
      <c r="R92" s="9"/>
      <c r="S92" s="1"/>
      <c r="T92" s="1"/>
    </row>
    <row r="93" spans="1:20" x14ac:dyDescent="0.3">
      <c r="A93" s="1"/>
      <c r="B93" s="1"/>
      <c r="C93" s="4"/>
      <c r="D93" s="1"/>
      <c r="E93" s="1"/>
      <c r="F93" s="1"/>
      <c r="G93" s="1"/>
      <c r="H93" s="5"/>
      <c r="I93" s="1"/>
      <c r="J93" s="1"/>
      <c r="K93" s="1"/>
      <c r="L93" s="1"/>
      <c r="M93" s="1"/>
      <c r="N93" s="12"/>
      <c r="O93" s="9"/>
      <c r="P93" s="9"/>
      <c r="Q93" s="9"/>
      <c r="R93" s="9"/>
      <c r="S93" s="1"/>
      <c r="T93" s="1"/>
    </row>
    <row r="94" spans="1:20" ht="19.8" x14ac:dyDescent="0.4">
      <c r="C94" s="28" t="s">
        <v>391</v>
      </c>
      <c r="D94" s="29"/>
      <c r="E94" s="29"/>
    </row>
    <row r="95" spans="1:20" ht="17.399999999999999" x14ac:dyDescent="0.35">
      <c r="C95" s="17" t="s">
        <v>385</v>
      </c>
      <c r="D95" s="18"/>
      <c r="E95" s="19">
        <f>SUM(T2:T91)</f>
        <v>15742.902000000006</v>
      </c>
    </row>
    <row r="96" spans="1:20" ht="17.399999999999999" x14ac:dyDescent="0.35">
      <c r="C96" s="20" t="s">
        <v>386</v>
      </c>
      <c r="D96" s="21"/>
      <c r="E96" s="19">
        <f>ROUND(AVERAGE(Table1[UnitPrice]),2)</f>
        <v>40.25</v>
      </c>
    </row>
    <row r="97" spans="3:5" ht="17.399999999999999" x14ac:dyDescent="0.35">
      <c r="C97" s="22" t="s">
        <v>387</v>
      </c>
      <c r="D97" s="23"/>
      <c r="E97" s="19">
        <f>MAX(M2:M91)</f>
        <v>129</v>
      </c>
    </row>
    <row r="98" spans="3:5" ht="17.399999999999999" x14ac:dyDescent="0.35">
      <c r="C98" s="17" t="s">
        <v>388</v>
      </c>
      <c r="D98" s="18"/>
      <c r="E98" s="19">
        <f>MIN(M2:M91)</f>
        <v>4.25</v>
      </c>
    </row>
    <row r="99" spans="3:5" ht="17.399999999999999" x14ac:dyDescent="0.35">
      <c r="C99" s="24" t="s">
        <v>389</v>
      </c>
      <c r="D99" s="25"/>
      <c r="E99" s="19">
        <f>COUNTA(Table1[Email])</f>
        <v>81</v>
      </c>
    </row>
    <row r="100" spans="3:5" ht="17.399999999999999" x14ac:dyDescent="0.35">
      <c r="C100" s="26" t="s">
        <v>390</v>
      </c>
      <c r="D100" s="27"/>
      <c r="E100" s="19">
        <f>COUNT(Table1[Quantity_Fixed2])</f>
        <v>88</v>
      </c>
    </row>
  </sheetData>
  <mergeCells count="7">
    <mergeCell ref="C94:E94"/>
    <mergeCell ref="C95:D95"/>
    <mergeCell ref="C96:D96"/>
    <mergeCell ref="C97:D97"/>
    <mergeCell ref="C98:D98"/>
    <mergeCell ref="C99:D99"/>
    <mergeCell ref="C100:D100"/>
  </mergeCells>
  <conditionalFormatting sqref="A1:A1048576">
    <cfRule type="duplicateValues" dxfId="4" priority="2"/>
    <cfRule type="duplicateValues" priority="3"/>
  </conditionalFormatting>
  <conditionalFormatting sqref="M2:M93">
    <cfRule type="cellIs" dxfId="3" priority="1" operator="lessThan">
      <formula>0</formula>
    </cfRule>
  </conditionalFormatting>
  <hyperlinks>
    <hyperlink ref="C3" r:id="rId1" xr:uid="{C3ECC189-876A-4074-8224-CAC052B265E0}"/>
    <hyperlink ref="C4" r:id="rId2" xr:uid="{5E17C350-5E32-4D5B-8D1C-89990EDD78BD}"/>
    <hyperlink ref="C5" r:id="rId3" xr:uid="{B66BB20C-CC3B-4CF3-B52F-3E95643AA84B}"/>
    <hyperlink ref="C6" r:id="rId4" xr:uid="{E19EB0C3-BD3D-4A4F-BB09-4C43512B515C}"/>
    <hyperlink ref="C7" r:id="rId5" xr:uid="{4157AF69-5D8E-4F80-9D37-CE7BB145CFBE}"/>
    <hyperlink ref="C8" r:id="rId6" xr:uid="{647B9281-B5E6-41FA-B501-65B8D7DB5520}"/>
    <hyperlink ref="C9" r:id="rId7" xr:uid="{16BED85C-93A4-4873-BFF2-1D1CFCD09E33}"/>
    <hyperlink ref="C11" r:id="rId8" xr:uid="{79697120-9397-4EB2-82B0-0A8EF7FD1D4A}"/>
    <hyperlink ref="C12" r:id="rId9" xr:uid="{76720211-8796-4B95-A560-3EFE8444B9B7}"/>
    <hyperlink ref="C13" r:id="rId10" xr:uid="{429D4F6C-1143-475D-BAAA-6F0C156EE5E3}"/>
    <hyperlink ref="C14" r:id="rId11" xr:uid="{55E2E44E-824B-40D4-A8B8-3AEC6028E8B7}"/>
    <hyperlink ref="C15" r:id="rId12" xr:uid="{1599F57E-E4E9-4352-B8CB-D35FA569ADB6}"/>
    <hyperlink ref="C16" r:id="rId13" xr:uid="{8EEE437A-DD94-46B6-86CE-B8DA10F4DEB0}"/>
    <hyperlink ref="C17" r:id="rId14" xr:uid="{77FD9932-735C-428F-A9F7-648B91322A1C}"/>
    <hyperlink ref="C18" r:id="rId15" xr:uid="{5A1D7C1A-3649-4C36-82EF-C10B37543764}"/>
    <hyperlink ref="C19" r:id="rId16" xr:uid="{8E174348-10CB-4828-B425-B33157EF858F}"/>
    <hyperlink ref="C23" r:id="rId17" xr:uid="{05367807-D868-48D2-9C5A-7C2B5EF6F8D3}"/>
    <hyperlink ref="C24" r:id="rId18" xr:uid="{44424DEE-848E-46A9-89B5-FC41BEC878CA}"/>
    <hyperlink ref="C25" r:id="rId19" xr:uid="{9E11A4BD-0016-45B3-814D-40E5E78C74A7}"/>
    <hyperlink ref="C26" r:id="rId20" xr:uid="{1925B9A3-FC52-4748-B714-67B09EA8CD14}"/>
    <hyperlink ref="C28" r:id="rId21" xr:uid="{EBDB24CE-F4FA-431E-AE02-1107009EEF60}"/>
    <hyperlink ref="C29" r:id="rId22" xr:uid="{48E0EF1E-A400-493C-9CAA-73E6CFBB42E1}"/>
    <hyperlink ref="C30" r:id="rId23" xr:uid="{8A6D9F7F-E026-437B-B193-8B94DEE9A40A}"/>
    <hyperlink ref="C31" r:id="rId24" xr:uid="{0BF34AEC-0AB2-4D05-8F8F-4C4C81792A0A}"/>
    <hyperlink ref="C32" r:id="rId25" xr:uid="{D7320324-2890-4546-9ACF-4DC53BBB797F}"/>
    <hyperlink ref="C33" r:id="rId26" xr:uid="{1EB6C2E5-D291-4E75-B3A3-E928367AFC35}"/>
    <hyperlink ref="C34" r:id="rId27" xr:uid="{B99408D6-81D9-4A5B-B031-1E7B62CDFA12}"/>
    <hyperlink ref="C35" r:id="rId28" xr:uid="{132527EE-39EE-47ED-B52F-9D5D546C4472}"/>
    <hyperlink ref="C36" r:id="rId29" xr:uid="{4ACD909F-0D4A-4485-B29E-9A18D8BB0005}"/>
    <hyperlink ref="C37" r:id="rId30" xr:uid="{9ECE98AE-12F7-4652-8C52-45521A61E253}"/>
    <hyperlink ref="C38" r:id="rId31" xr:uid="{B5BAD9A9-FC0B-439B-B755-52F2C42D60B4}"/>
    <hyperlink ref="C39" r:id="rId32" xr:uid="{6674184E-947D-4AB5-B7D1-ADFC2279B565}"/>
    <hyperlink ref="C40" r:id="rId33" xr:uid="{837FFC36-0CFD-43F2-A0E5-D1AB15A995C0}"/>
    <hyperlink ref="C42" r:id="rId34" xr:uid="{471521C7-33F1-474B-8244-0D6EB2624D69}"/>
    <hyperlink ref="C43" r:id="rId35" xr:uid="{07C4AC9E-3B5C-4452-951E-55A6AF1320EF}"/>
    <hyperlink ref="C44" r:id="rId36" xr:uid="{938D124A-68CE-4D60-8651-631EC87E137B}"/>
    <hyperlink ref="C45" r:id="rId37" xr:uid="{5A22B790-4C1A-42B9-B6C6-EAAC756C8251}"/>
    <hyperlink ref="C46" r:id="rId38" xr:uid="{93407A07-2B77-4E4A-B7E6-553C7E0F7204}"/>
    <hyperlink ref="C47" r:id="rId39" xr:uid="{C9AFCF26-BCE9-4250-A188-9A8FADF19988}"/>
    <hyperlink ref="C48" r:id="rId40" xr:uid="{567D901E-43A5-4E1E-87A3-5A7141C86935}"/>
    <hyperlink ref="C50" r:id="rId41" xr:uid="{0A06BA78-8030-4611-A64D-42F8D46CEE84}"/>
    <hyperlink ref="C51" r:id="rId42" xr:uid="{20241F76-CFF8-4A5B-B1D9-412BA44D00E2}"/>
    <hyperlink ref="C52" r:id="rId43" xr:uid="{6DC96CD5-2F3E-4116-8020-EFC97547DDFE}"/>
    <hyperlink ref="C53" r:id="rId44" xr:uid="{28AE6571-90AE-46D6-A4AB-8E26AA94271C}"/>
    <hyperlink ref="C54" r:id="rId45" xr:uid="{F375C32B-0D30-46D8-8905-375811189387}"/>
    <hyperlink ref="C56" r:id="rId46" xr:uid="{C3B6989C-23A6-40D9-8B15-56BDF9FFF2EF}"/>
    <hyperlink ref="C57" r:id="rId47" xr:uid="{A2F537B7-5688-47A1-A456-5F675CF085D2}"/>
    <hyperlink ref="C58" r:id="rId48" xr:uid="{EE6E09DD-EE75-46E1-B933-866F45ADA98E}"/>
    <hyperlink ref="C59" r:id="rId49" xr:uid="{109D5012-B721-4DE1-95B4-391E7F86D94F}"/>
    <hyperlink ref="C60" r:id="rId50" xr:uid="{49DD1CA4-90C9-4559-86B1-A06A88D41905}"/>
    <hyperlink ref="C64" r:id="rId51" xr:uid="{F340ED8C-A233-4819-B6EA-F49852B2D53B}"/>
    <hyperlink ref="C65" r:id="rId52" xr:uid="{7F67E2A5-67A2-4DA1-801A-F15F8F0FBF0C}"/>
    <hyperlink ref="C66" r:id="rId53" xr:uid="{D82688D6-2462-4460-921A-EF9C862478A5}"/>
    <hyperlink ref="C67" r:id="rId54" xr:uid="{8CA18DF1-C8DF-49DA-8823-015B021B9F17}"/>
    <hyperlink ref="C68" r:id="rId55" xr:uid="{34CA1C35-9229-4798-99C1-F36E01D8C3D2}"/>
    <hyperlink ref="C70" r:id="rId56" xr:uid="{3C015E26-69F7-4596-A6C7-5AC6A2A2DD2E}"/>
    <hyperlink ref="C71" r:id="rId57" xr:uid="{3160F3B2-43A4-4516-B9E3-68503B2E58D1}"/>
    <hyperlink ref="C72" r:id="rId58" xr:uid="{D7F58D40-BD69-40AB-BAC3-EEB4847FEE24}"/>
    <hyperlink ref="C73" r:id="rId59" xr:uid="{1BE51526-DB85-4FC1-BDDE-CF122D1D6ACB}"/>
    <hyperlink ref="C74" r:id="rId60" xr:uid="{D0D56394-566A-48C7-9ED0-A292A6395E5E}"/>
    <hyperlink ref="C77" r:id="rId61" xr:uid="{9775BDE8-90B2-4CAA-857D-64880B759BDC}"/>
    <hyperlink ref="C79" r:id="rId62" xr:uid="{49DDB3AE-7EFE-4A9E-9064-95F646F8FC27}"/>
    <hyperlink ref="C81" r:id="rId63" xr:uid="{FA28435F-1792-40B6-8A8A-7465588D07A6}"/>
    <hyperlink ref="C82" r:id="rId64" xr:uid="{27A4A471-C3B3-406F-B359-188F21430C10}"/>
    <hyperlink ref="C85" r:id="rId65" xr:uid="{0F166F1D-50A0-40C8-8D55-62E80A21F759}"/>
    <hyperlink ref="C86" r:id="rId66" xr:uid="{CCC3CFB9-6088-4EFB-A375-A3D9FD5FA6C4}"/>
    <hyperlink ref="C87" r:id="rId67" xr:uid="{6C707AEB-82F9-4884-A2AB-5C685C02A77A}"/>
    <hyperlink ref="C88" r:id="rId68" xr:uid="{3F46F8EB-699D-44E9-B6CC-B0EE157F9F4E}"/>
    <hyperlink ref="C89" r:id="rId69" xr:uid="{093C41E2-7097-4312-B8F0-AA412DAF829C}"/>
    <hyperlink ref="C90" r:id="rId70" xr:uid="{B622C56B-3AD6-4845-867C-00327743E3E6}"/>
    <hyperlink ref="C91" r:id="rId71" xr:uid="{AAFFFEEB-BBE2-4BD3-B185-C3A2084F7391}"/>
  </hyperlinks>
  <pageMargins left="0.75" right="0.75" top="1" bottom="1" header="0.5" footer="0.5"/>
  <pageSetup orientation="portrait" r:id="rId72"/>
  <tableParts count="1">
    <tablePart r:id="rId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DCL</cp:lastModifiedBy>
  <dcterms:created xsi:type="dcterms:W3CDTF">2026-08-23T14:58:41Z</dcterms:created>
  <dcterms:modified xsi:type="dcterms:W3CDTF">2026-09-26T18:31:25Z</dcterms:modified>
</cp:coreProperties>
</file>